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Dashboard" sheetId="2" state="visible" r:id="rId4"/>
    <sheet name="How to Use" sheetId="3" state="visible" r:id="rId5"/>
  </sheets>
  <definedNames>
    <definedName function="false" hidden="true" localSheetId="0" name="_xlnm._FilterDatabase" vbProcedure="false">Tracker!$A$1:$M$455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<sst xmlns="http://schemas.openxmlformats.org/spreadsheetml/2006/main" count="3247" uniqueCount="584">
  <si>
    <t xml:space="preserve">Step</t>
  </si>
  <si>
    <t xml:space="preserve">Step Name</t>
  </si>
  <si>
    <t xml:space="preserve">Sub-step</t>
  </si>
  <si>
    <t xml:space="preserve">#</t>
  </si>
  <si>
    <t xml:space="preserve">Done</t>
  </si>
  <si>
    <t xml:space="preserve">Problem</t>
  </si>
  <si>
    <t xml:space="preserve">Difficulty</t>
  </si>
  <si>
    <t xml:space="preserve">LeetCode</t>
  </si>
  <si>
    <t xml:space="preserve">Striver Video</t>
  </si>
  <si>
    <t xml:space="preserve">Status</t>
  </si>
  <si>
    <t xml:space="preserve">Date Solved</t>
  </si>
  <si>
    <t xml:space="preserve">Revisit?</t>
  </si>
  <si>
    <t xml:space="preserve">Notes</t>
  </si>
  <si>
    <t xml:space="preserve">Learn the Basics</t>
  </si>
  <si>
    <t xml:space="preserve">1.1 Basics (C++/Python)</t>
  </si>
  <si>
    <t xml:space="preserve">User Input / Output</t>
  </si>
  <si>
    <t xml:space="preserve">Easy</t>
  </si>
  <si>
    <t xml:space="preserve">🔗 open</t>
  </si>
  <si>
    <t xml:space="preserve">▶ video</t>
  </si>
  <si>
    <t xml:space="preserve">Not Started</t>
  </si>
  <si>
    <t xml:space="preserve">Data Types</t>
  </si>
  <si>
    <t xml:space="preserve">If-Else statements</t>
  </si>
  <si>
    <t xml:space="preserve">Switch Statement</t>
  </si>
  <si>
    <t xml:space="preserve">Arrays, Strings basics</t>
  </si>
  <si>
    <t xml:space="preserve">For loops</t>
  </si>
  <si>
    <t xml:space="preserve">While loops</t>
  </si>
  <si>
    <t xml:space="preserve">Functions (pass by ref/value)</t>
  </si>
  <si>
    <t xml:space="preserve">Time &amp; Space Complexity</t>
  </si>
  <si>
    <t xml:space="preserve">1.2 Patterns</t>
  </si>
  <si>
    <t xml:space="preserve">Build-up Logical Thinking (Patterns)</t>
  </si>
  <si>
    <t xml:space="preserve">1.3 STL / Collections</t>
  </si>
  <si>
    <t xml:space="preserve">C++ STL</t>
  </si>
  <si>
    <t xml:space="preserve">Java Collections</t>
  </si>
  <si>
    <t xml:space="preserve">1.4 Basic Maths</t>
  </si>
  <si>
    <t xml:space="preserve">Count Digits</t>
  </si>
  <si>
    <t xml:space="preserve">Reverse a Number</t>
  </si>
  <si>
    <t xml:space="preserve">Check Palindrome</t>
  </si>
  <si>
    <t xml:space="preserve">GCD or HCF</t>
  </si>
  <si>
    <t xml:space="preserve">Armstrong Numbers</t>
  </si>
  <si>
    <t xml:space="preserve">Print all Divisors</t>
  </si>
  <si>
    <t xml:space="preserve">Check for Prime</t>
  </si>
  <si>
    <t xml:space="preserve">1.5 Basic Recursion</t>
  </si>
  <si>
    <t xml:space="preserve">Print something N times</t>
  </si>
  <si>
    <t xml:space="preserve">Print name N times</t>
  </si>
  <si>
    <t xml:space="preserve">Print 1 to N</t>
  </si>
  <si>
    <t xml:space="preserve">Print N to 1</t>
  </si>
  <si>
    <t xml:space="preserve">Sum of first N numbers</t>
  </si>
  <si>
    <t xml:space="preserve">Factorial of N</t>
  </si>
  <si>
    <t xml:space="preserve">Reverse an array (recursion)</t>
  </si>
  <si>
    <t xml:space="preserve">Check string palindrome (recursion)</t>
  </si>
  <si>
    <t xml:space="preserve">Fibonacci Number</t>
  </si>
  <si>
    <t xml:space="preserve">1.6 Basic Hashing</t>
  </si>
  <si>
    <t xml:space="preserve">Hashing Theory</t>
  </si>
  <si>
    <t xml:space="preserve">Count frequency of elements</t>
  </si>
  <si>
    <t xml:space="preserve">Highest/Lowest frequency element</t>
  </si>
  <si>
    <t xml:space="preserve">Sorting Techniques</t>
  </si>
  <si>
    <t xml:space="preserve">2.1 Sorting-I</t>
  </si>
  <si>
    <t xml:space="preserve">Selection Sort</t>
  </si>
  <si>
    <t xml:space="preserve">Bubble Sort</t>
  </si>
  <si>
    <t xml:space="preserve">Insertion Sort</t>
  </si>
  <si>
    <t xml:space="preserve">2.2 Sorting-II</t>
  </si>
  <si>
    <t xml:space="preserve">Merge Sort</t>
  </si>
  <si>
    <t xml:space="preserve">Medium</t>
  </si>
  <si>
    <t xml:space="preserve">Recursive Bubble Sort</t>
  </si>
  <si>
    <t xml:space="preserve">Recursive Insertion Sort</t>
  </si>
  <si>
    <t xml:space="preserve">Quick Sort</t>
  </si>
  <si>
    <t xml:space="preserve">Arrays</t>
  </si>
  <si>
    <t xml:space="preserve">3.1 Easy</t>
  </si>
  <si>
    <t xml:space="preserve">Largest Element in Array</t>
  </si>
  <si>
    <t xml:space="preserve">Second Largest Element</t>
  </si>
  <si>
    <t xml:space="preserve">Check if array is sorted</t>
  </si>
  <si>
    <t xml:space="preserve">Remove duplicates from sorted array</t>
  </si>
  <si>
    <t xml:space="preserve">Left rotate array by one</t>
  </si>
  <si>
    <t xml:space="preserve">Left rotate array by D places</t>
  </si>
  <si>
    <t xml:space="preserve">Move zeros to end</t>
  </si>
  <si>
    <t xml:space="preserve">Linear Search</t>
  </si>
  <si>
    <t xml:space="preserve">Union of two sorted arrays</t>
  </si>
  <si>
    <t xml:space="preserve">Intersection of two sorted arrays</t>
  </si>
  <si>
    <t xml:space="preserve">Find missing number</t>
  </si>
  <si>
    <t xml:space="preserve">Max consecutive ones</t>
  </si>
  <si>
    <t xml:space="preserve">Number appearing once (others twice)</t>
  </si>
  <si>
    <t xml:space="preserve">Longest subarray with sum K (positives)</t>
  </si>
  <si>
    <t xml:space="preserve">Longest subarray with sum K (pos+neg)</t>
  </si>
  <si>
    <t xml:space="preserve">3.2 Medium</t>
  </si>
  <si>
    <t xml:space="preserve">Two Sum</t>
  </si>
  <si>
    <t xml:space="preserve">Sort array of 0s 1s 2s</t>
  </si>
  <si>
    <t xml:space="preserve">Majority Element (&gt;n/2)</t>
  </si>
  <si>
    <t xml:space="preserve">Kadane's Algorithm (max subarray sum)</t>
  </si>
  <si>
    <t xml:space="preserve">Print max-sum subarray</t>
  </si>
  <si>
    <t xml:space="preserve">Stock Buy and Sell</t>
  </si>
  <si>
    <t xml:space="preserve">Rearrange array by sign</t>
  </si>
  <si>
    <t xml:space="preserve">Next Permutation</t>
  </si>
  <si>
    <t xml:space="preserve">Leaders in an array</t>
  </si>
  <si>
    <t xml:space="preserve">Longest Consecutive Sequence</t>
  </si>
  <si>
    <t xml:space="preserve">Set Matrix Zeros</t>
  </si>
  <si>
    <t xml:space="preserve">Rotate Matrix by 90 degrees</t>
  </si>
  <si>
    <t xml:space="preserve">Print matrix in spiral</t>
  </si>
  <si>
    <t xml:space="preserve">Count subarrays with sum K</t>
  </si>
  <si>
    <t xml:space="preserve">3.3 Hard</t>
  </si>
  <si>
    <t xml:space="preserve">Pascal's Triangle</t>
  </si>
  <si>
    <t xml:space="preserve">Hard</t>
  </si>
  <si>
    <t xml:space="preserve">Majority Element (&gt;n/3)</t>
  </si>
  <si>
    <t xml:space="preserve">3-Sum</t>
  </si>
  <si>
    <t xml:space="preserve">4-Sum</t>
  </si>
  <si>
    <t xml:space="preserve">Largest subarray with 0 sum</t>
  </si>
  <si>
    <t xml:space="preserve">Count subarrays with XOR K</t>
  </si>
  <si>
    <t xml:space="preserve">Merge overlapping intervals</t>
  </si>
  <si>
    <t xml:space="preserve">Merge two sorted arrays (no extra space)</t>
  </si>
  <si>
    <t xml:space="preserve">Find repeating and missing number</t>
  </si>
  <si>
    <t xml:space="preserve">Count Inversions</t>
  </si>
  <si>
    <t xml:space="preserve">Reverse Pairs</t>
  </si>
  <si>
    <t xml:space="preserve">Maximum Product Subarray</t>
  </si>
  <si>
    <t xml:space="preserve">Binary Search</t>
  </si>
  <si>
    <t xml:space="preserve">4.1 BS on 1D Arrays</t>
  </si>
  <si>
    <t xml:space="preserve">Binary Search to find X</t>
  </si>
  <si>
    <t xml:space="preserve">Implement Lower Bound</t>
  </si>
  <si>
    <t xml:space="preserve">Implement Upper Bound</t>
  </si>
  <si>
    <t xml:space="preserve">Search Insert Position</t>
  </si>
  <si>
    <t xml:space="preserve">Floor and Ceil in sorted array</t>
  </si>
  <si>
    <t xml:space="preserve">First and last occurrence</t>
  </si>
  <si>
    <t xml:space="preserve">Count occurrences in sorted array</t>
  </si>
  <si>
    <t xml:space="preserve">Search in Rotated Sorted Array I</t>
  </si>
  <si>
    <t xml:space="preserve">Search in Rotated Sorted Array II</t>
  </si>
  <si>
    <t xml:space="preserve">Minimum in Rotated Sorted Array</t>
  </si>
  <si>
    <t xml:space="preserve">How many times array is rotated</t>
  </si>
  <si>
    <t xml:space="preserve">Single element in sorted array</t>
  </si>
  <si>
    <t xml:space="preserve">Find peak element</t>
  </si>
  <si>
    <t xml:space="preserve">4.2 BS on Answers</t>
  </si>
  <si>
    <t xml:space="preserve">Find square root of a number</t>
  </si>
  <si>
    <t xml:space="preserve">Find Nth root of a number</t>
  </si>
  <si>
    <t xml:space="preserve">Koko Eating Bananas</t>
  </si>
  <si>
    <t xml:space="preserve">Minimum days to make M bouquets</t>
  </si>
  <si>
    <t xml:space="preserve">Find the Smallest Divisor</t>
  </si>
  <si>
    <t xml:space="preserve">Capacity to Ship Packages within D Days</t>
  </si>
  <si>
    <t xml:space="preserve">Kth Missing Positive Number</t>
  </si>
  <si>
    <t xml:space="preserve">Aggressive Cows</t>
  </si>
  <si>
    <t xml:space="preserve">Book Allocation Problem</t>
  </si>
  <si>
    <t xml:space="preserve">Split Array - Largest Sum</t>
  </si>
  <si>
    <t xml:space="preserve">Painter's Partition</t>
  </si>
  <si>
    <t xml:space="preserve">Minimize Max Distance to Gas Station</t>
  </si>
  <si>
    <t xml:space="preserve">Median of two sorted arrays</t>
  </si>
  <si>
    <t xml:space="preserve">Kth element of two sorted arrays</t>
  </si>
  <si>
    <t xml:space="preserve">4.3 BS on 2D Arrays</t>
  </si>
  <si>
    <t xml:space="preserve">Row with maximum 1's</t>
  </si>
  <si>
    <t xml:space="preserve">Search in a 2D matrix</t>
  </si>
  <si>
    <t xml:space="preserve">Search in a 2D matrix II</t>
  </si>
  <si>
    <t xml:space="preserve">Find Peak Element (2D)</t>
  </si>
  <si>
    <t xml:space="preserve">Matrix Median</t>
  </si>
  <si>
    <t xml:space="preserve">Strings (Basic)</t>
  </si>
  <si>
    <t xml:space="preserve">5.1 Easy</t>
  </si>
  <si>
    <t xml:space="preserve">Remove outermost parentheses</t>
  </si>
  <si>
    <t xml:space="preserve">Reverse words in a string</t>
  </si>
  <si>
    <t xml:space="preserve">Largest odd number in a string</t>
  </si>
  <si>
    <t xml:space="preserve">Longest common prefix</t>
  </si>
  <si>
    <t xml:space="preserve">Isomorphic strings</t>
  </si>
  <si>
    <t xml:space="preserve">Rotate string to make equal</t>
  </si>
  <si>
    <t xml:space="preserve">Check if two strings are anagrams</t>
  </si>
  <si>
    <t xml:space="preserve">5.2 Medium</t>
  </si>
  <si>
    <t xml:space="preserve">Sort characters by frequency</t>
  </si>
  <si>
    <t xml:space="preserve">Maximum nesting depth of parentheses</t>
  </si>
  <si>
    <t xml:space="preserve">Roman to Integer</t>
  </si>
  <si>
    <t xml:space="preserve">Implement Atoi</t>
  </si>
  <si>
    <t xml:space="preserve">Count number of substrings</t>
  </si>
  <si>
    <t xml:space="preserve">Longest Palindromic Substring</t>
  </si>
  <si>
    <t xml:space="preserve">Sum of beauty of all substrings</t>
  </si>
  <si>
    <t xml:space="preserve">Reverse every word (II)</t>
  </si>
  <si>
    <t xml:space="preserve">Linked List</t>
  </si>
  <si>
    <t xml:space="preserve">6.1 1D Linked List</t>
  </si>
  <si>
    <t xml:space="preserve">Introduction to LinkedList</t>
  </si>
  <si>
    <t xml:space="preserve">Insert a node</t>
  </si>
  <si>
    <t xml:space="preserve">Delete a node</t>
  </si>
  <si>
    <t xml:space="preserve">Find length of LinkedList</t>
  </si>
  <si>
    <t xml:space="preserve">Search an element</t>
  </si>
  <si>
    <t xml:space="preserve">6.2 Doubly Linked List</t>
  </si>
  <si>
    <t xml:space="preserve">Introduction to DLL</t>
  </si>
  <si>
    <t xml:space="preserve">Insert a node in DLL</t>
  </si>
  <si>
    <t xml:space="preserve">Delete a node in DLL</t>
  </si>
  <si>
    <t xml:space="preserve">Reverse a DLL</t>
  </si>
  <si>
    <t xml:space="preserve">6.3 Medium LL Problems</t>
  </si>
  <si>
    <t xml:space="preserve">Middle of LinkedList</t>
  </si>
  <si>
    <t xml:space="preserve">Reverse LL (iterative)</t>
  </si>
  <si>
    <t xml:space="preserve">Reverse LL (recursive)</t>
  </si>
  <si>
    <t xml:space="preserve">Detect a loop in LL</t>
  </si>
  <si>
    <t xml:space="preserve">Find starting point of loop</t>
  </si>
  <si>
    <t xml:space="preserve">Length of loop in LL</t>
  </si>
  <si>
    <t xml:space="preserve">Check if LL is palindrome</t>
  </si>
  <si>
    <t xml:space="preserve">Segregate odd and even nodes</t>
  </si>
  <si>
    <t xml:space="preserve">Remove Nth node from back</t>
  </si>
  <si>
    <t xml:space="preserve">Delete the middle node</t>
  </si>
  <si>
    <t xml:space="preserve">Sort a LinkedList</t>
  </si>
  <si>
    <t xml:space="preserve">Sort LL of 0s 1s 2s</t>
  </si>
  <si>
    <t xml:space="preserve">Intersection point of Y LinkedLists</t>
  </si>
  <si>
    <t xml:space="preserve">Add 1 to number as LL</t>
  </si>
  <si>
    <t xml:space="preserve">Add two numbers as LL</t>
  </si>
  <si>
    <t xml:space="preserve">6.4 Medium DLL Problems</t>
  </si>
  <si>
    <t xml:space="preserve">Delete all occurrences of a key in DLL</t>
  </si>
  <si>
    <t xml:space="preserve">Find pairs with given sum in DLL</t>
  </si>
  <si>
    <t xml:space="preserve">Remove duplicates from sorted DLL</t>
  </si>
  <si>
    <t xml:space="preserve">6.5 Hard LL Problems</t>
  </si>
  <si>
    <t xml:space="preserve">Reverse LL in groups of K</t>
  </si>
  <si>
    <t xml:space="preserve">Rotate a LinkedList</t>
  </si>
  <si>
    <t xml:space="preserve">Flatten a LinkedList</t>
  </si>
  <si>
    <t xml:space="preserve">Clone LL with random pointer</t>
  </si>
  <si>
    <t xml:space="preserve">Recursion</t>
  </si>
  <si>
    <t xml:space="preserve">7.1 Get a Strong Hold</t>
  </si>
  <si>
    <t xml:space="preserve">Recursive atoi()</t>
  </si>
  <si>
    <t xml:space="preserve">Pow(x, n)</t>
  </si>
  <si>
    <t xml:space="preserve">Count Good numbers</t>
  </si>
  <si>
    <t xml:space="preserve">Sort a stack using recursion</t>
  </si>
  <si>
    <t xml:space="preserve">Reverse a stack using recursion</t>
  </si>
  <si>
    <t xml:space="preserve">7.2 Subsequences Pattern</t>
  </si>
  <si>
    <t xml:space="preserve">Generate all binary strings</t>
  </si>
  <si>
    <t xml:space="preserve">Generate Parentheses</t>
  </si>
  <si>
    <t xml:space="preserve">Print all subsequences (Power Set)</t>
  </si>
  <si>
    <t xml:space="preserve">Learn all patterns of subsequences</t>
  </si>
  <si>
    <t xml:space="preserve">Count subsequences with sum K</t>
  </si>
  <si>
    <t xml:space="preserve">Check subsequence with sum K exists</t>
  </si>
  <si>
    <t xml:space="preserve">Combination Sum</t>
  </si>
  <si>
    <t xml:space="preserve">Combination Sum II</t>
  </si>
  <si>
    <t xml:space="preserve">Subset Sum I</t>
  </si>
  <si>
    <t xml:space="preserve">Subset Sum II</t>
  </si>
  <si>
    <t xml:space="preserve">Combination Sum III</t>
  </si>
  <si>
    <t xml:space="preserve">Letter Combinations of a Phone Number</t>
  </si>
  <si>
    <t xml:space="preserve">7.3 Trying all Combos (Hard)</t>
  </si>
  <si>
    <t xml:space="preserve">Palindrome Partitioning</t>
  </si>
  <si>
    <t xml:space="preserve">Word Search</t>
  </si>
  <si>
    <t xml:space="preserve">N Queens</t>
  </si>
  <si>
    <t xml:space="preserve">Rat in a Maze</t>
  </si>
  <si>
    <t xml:space="preserve">Word Break</t>
  </si>
  <si>
    <t xml:space="preserve">M Coloring Problem</t>
  </si>
  <si>
    <t xml:space="preserve">Sudoku Solver</t>
  </si>
  <si>
    <t xml:space="preserve">Expression Add Operators</t>
  </si>
  <si>
    <t xml:space="preserve">Bit Manipulation</t>
  </si>
  <si>
    <t xml:space="preserve">8.1 Learn Basics</t>
  </si>
  <si>
    <t xml:space="preserve">Introduction to Bit Manipulation</t>
  </si>
  <si>
    <t xml:space="preserve">Check if i-th bit is set</t>
  </si>
  <si>
    <t xml:space="preserve">Check odd/even</t>
  </si>
  <si>
    <t xml:space="preserve">Check if power of 2</t>
  </si>
  <si>
    <t xml:space="preserve">Count set bits</t>
  </si>
  <si>
    <t xml:space="preserve">Set/Clear/Toggle a bit</t>
  </si>
  <si>
    <t xml:space="preserve">Remove last set bit / Swap numbers</t>
  </si>
  <si>
    <t xml:space="preserve">8.2 Interview Problems</t>
  </si>
  <si>
    <t xml:space="preserve">Single Number I</t>
  </si>
  <si>
    <t xml:space="preserve">Single Number II</t>
  </si>
  <si>
    <t xml:space="preserve">Single Number III</t>
  </si>
  <si>
    <t xml:space="preserve">Divide Two Integers</t>
  </si>
  <si>
    <t xml:space="preserve">Power Set using bits</t>
  </si>
  <si>
    <t xml:space="preserve">8.3 Advanced Maths</t>
  </si>
  <si>
    <t xml:space="preserve">Count bits to flip (XOR)</t>
  </si>
  <si>
    <t xml:space="preserve">Find XOR of L to R</t>
  </si>
  <si>
    <t xml:space="preserve">Sieve of Eratosthenes</t>
  </si>
  <si>
    <t xml:space="preserve">Print Prime Factors</t>
  </si>
  <si>
    <t xml:space="preserve">All Divisors</t>
  </si>
  <si>
    <t xml:space="preserve">Power(n) using bits</t>
  </si>
  <si>
    <t xml:space="preserve">Stack &amp; Queue</t>
  </si>
  <si>
    <t xml:space="preserve">9.1 Learning</t>
  </si>
  <si>
    <t xml:space="preserve">Stack using Arrays</t>
  </si>
  <si>
    <t xml:space="preserve">Queue using Arrays</t>
  </si>
  <si>
    <t xml:space="preserve">Stack using Queue</t>
  </si>
  <si>
    <t xml:space="preserve">Queue using Stack</t>
  </si>
  <si>
    <t xml:space="preserve">Stack using LinkedList</t>
  </si>
  <si>
    <t xml:space="preserve">Queue using LinkedList</t>
  </si>
  <si>
    <t xml:space="preserve">Balanced Parentheses</t>
  </si>
  <si>
    <t xml:space="preserve">Implement Min Stack</t>
  </si>
  <si>
    <t xml:space="preserve">9.2 Pre/In/Post Conversions</t>
  </si>
  <si>
    <t xml:space="preserve">Infix to Postfix</t>
  </si>
  <si>
    <t xml:space="preserve">Prefix to Infix</t>
  </si>
  <si>
    <t xml:space="preserve">Prefix to Postfix</t>
  </si>
  <si>
    <t xml:space="preserve">Postfix to Infix</t>
  </si>
  <si>
    <t xml:space="preserve">Postfix to Prefix</t>
  </si>
  <si>
    <t xml:space="preserve">Infix to Prefix</t>
  </si>
  <si>
    <t xml:space="preserve">9.3 Monotonic Stack/Queue</t>
  </si>
  <si>
    <t xml:space="preserve">Next Greater Element I</t>
  </si>
  <si>
    <t xml:space="preserve">Next Greater Element II</t>
  </si>
  <si>
    <t xml:space="preserve">Next Smaller Element</t>
  </si>
  <si>
    <t xml:space="preserve">Number of NGEs to the right</t>
  </si>
  <si>
    <t xml:space="preserve">Trapping Rainwater</t>
  </si>
  <si>
    <t xml:space="preserve">Sum of Subarray Minimums</t>
  </si>
  <si>
    <t xml:space="preserve">Asteroid Collision</t>
  </si>
  <si>
    <t xml:space="preserve">Sum of Subarray Ranges</t>
  </si>
  <si>
    <t xml:space="preserve">Remove K Digits</t>
  </si>
  <si>
    <t xml:space="preserve">Largest Rectangle in Histogram</t>
  </si>
  <si>
    <t xml:space="preserve">Maximal Rectangle</t>
  </si>
  <si>
    <t xml:space="preserve">Maximum of minimums for every window size</t>
  </si>
  <si>
    <t xml:space="preserve">9.4 Implementation</t>
  </si>
  <si>
    <t xml:space="preserve">The Celebrity Problem</t>
  </si>
  <si>
    <t xml:space="preserve">Sliding Window Maximum</t>
  </si>
  <si>
    <t xml:space="preserve">Stock Span Problem</t>
  </si>
  <si>
    <t xml:space="preserve">LRU Cache</t>
  </si>
  <si>
    <t xml:space="preserve">LFU Cache</t>
  </si>
  <si>
    <t xml:space="preserve">Sliding Window &amp; Two Pointer</t>
  </si>
  <si>
    <t xml:space="preserve">10.1 Problems</t>
  </si>
  <si>
    <t xml:space="preserve">Longest Substring Without Repeating Characters</t>
  </si>
  <si>
    <t xml:space="preserve">Max Consecutive Ones III</t>
  </si>
  <si>
    <t xml:space="preserve">Fruit Into Baskets</t>
  </si>
  <si>
    <t xml:space="preserve">Longest repeating character replacement</t>
  </si>
  <si>
    <t xml:space="preserve">Binary subarray with sum</t>
  </si>
  <si>
    <t xml:space="preserve">Count number of nice subarrays</t>
  </si>
  <si>
    <t xml:space="preserve">Substrings containing all three characters</t>
  </si>
  <si>
    <t xml:space="preserve">Max points from cards</t>
  </si>
  <si>
    <t xml:space="preserve">Longest Substring with At Most K Distinct</t>
  </si>
  <si>
    <t xml:space="preserve">Subarrays with K different integers</t>
  </si>
  <si>
    <t xml:space="preserve">Minimum Window Substring</t>
  </si>
  <si>
    <t xml:space="preserve">Minimum Window Subsequence</t>
  </si>
  <si>
    <t xml:space="preserve">Heaps</t>
  </si>
  <si>
    <t xml:space="preserve">11.1 Learning</t>
  </si>
  <si>
    <t xml:space="preserve">Introduction to Priority Queue</t>
  </si>
  <si>
    <t xml:space="preserve">Min Heap &amp; Max Heap Implementation</t>
  </si>
  <si>
    <t xml:space="preserve">Check if array represents min-heap</t>
  </si>
  <si>
    <t xml:space="preserve">11.2 Medium</t>
  </si>
  <si>
    <t xml:space="preserve">Convert min-heap to max-heap</t>
  </si>
  <si>
    <t xml:space="preserve">Kth largest element in array</t>
  </si>
  <si>
    <t xml:space="preserve">Kth smallest element in array</t>
  </si>
  <si>
    <t xml:space="preserve">Sort K-sorted (nearly sorted) array</t>
  </si>
  <si>
    <t xml:space="preserve">Merge M sorted lists</t>
  </si>
  <si>
    <t xml:space="preserve">Replace elements by rank</t>
  </si>
  <si>
    <t xml:space="preserve">Task Scheduler</t>
  </si>
  <si>
    <t xml:space="preserve">Hands of Straights</t>
  </si>
  <si>
    <t xml:space="preserve">11.3 Hard</t>
  </si>
  <si>
    <t xml:space="preserve">Design Twitter</t>
  </si>
  <si>
    <t xml:space="preserve">Connect n ropes with minimal cost</t>
  </si>
  <si>
    <t xml:space="preserve">Kth largest in a stream</t>
  </si>
  <si>
    <t xml:space="preserve">Maximum Sum Combination</t>
  </si>
  <si>
    <t xml:space="preserve">Find Median from Data Stream</t>
  </si>
  <si>
    <t xml:space="preserve">K most frequent elements</t>
  </si>
  <si>
    <t xml:space="preserve">Greedy Algorithms</t>
  </si>
  <si>
    <t xml:space="preserve">12.1 Easy</t>
  </si>
  <si>
    <t xml:space="preserve">Assign Cookies</t>
  </si>
  <si>
    <t xml:space="preserve">Fractional Knapsack</t>
  </si>
  <si>
    <t xml:space="preserve">Minimum coins (greedy)</t>
  </si>
  <si>
    <t xml:space="preserve">Lemonade Change</t>
  </si>
  <si>
    <t xml:space="preserve">Valid Parenthesis String</t>
  </si>
  <si>
    <t xml:space="preserve">12.2 Medium/Hard</t>
  </si>
  <si>
    <t xml:space="preserve">N meetings in one room</t>
  </si>
  <si>
    <t xml:space="preserve">Jump Game</t>
  </si>
  <si>
    <t xml:space="preserve">Jump Game II</t>
  </si>
  <si>
    <t xml:space="preserve">Minimum number of platforms</t>
  </si>
  <si>
    <t xml:space="preserve">Job Sequencing Problem</t>
  </si>
  <si>
    <t xml:space="preserve">Candy</t>
  </si>
  <si>
    <t xml:space="preserve">Shortest Job First (SJF)</t>
  </si>
  <si>
    <t xml:space="preserve">Page Faults in LRU</t>
  </si>
  <si>
    <t xml:space="preserve">Insert Interval</t>
  </si>
  <si>
    <t xml:space="preserve">Merge Intervals</t>
  </si>
  <si>
    <t xml:space="preserve">Non-overlapping Intervals</t>
  </si>
  <si>
    <t xml:space="preserve">Binary Trees</t>
  </si>
  <si>
    <t xml:space="preserve">13.1 Traversals</t>
  </si>
  <si>
    <t xml:space="preserve">Introduction to Trees</t>
  </si>
  <si>
    <t xml:space="preserve">Binary Tree Representation</t>
  </si>
  <si>
    <t xml:space="preserve">Binary Tree Traversals (theory)</t>
  </si>
  <si>
    <t xml:space="preserve">Preorder Traversal</t>
  </si>
  <si>
    <t xml:space="preserve">Inorder Traversal</t>
  </si>
  <si>
    <t xml:space="preserve">Postorder Traversal</t>
  </si>
  <si>
    <t xml:space="preserve">Level Order Traversal</t>
  </si>
  <si>
    <t xml:space="preserve">Iterative Preorder</t>
  </si>
  <si>
    <t xml:space="preserve">Iterative Inorder</t>
  </si>
  <si>
    <t xml:space="preserve">Iterative Postorder (2 stacks)</t>
  </si>
  <si>
    <t xml:space="preserve">Iterative Postorder (1 stack)</t>
  </si>
  <si>
    <t xml:space="preserve">Pre/In/Post in one traversal</t>
  </si>
  <si>
    <t xml:space="preserve">Maximum Depth / Height</t>
  </si>
  <si>
    <t xml:space="preserve">13.2 Medium</t>
  </si>
  <si>
    <t xml:space="preserve">Check for Balanced Binary Tree</t>
  </si>
  <si>
    <t xml:space="preserve">Diameter of Binary Tree</t>
  </si>
  <si>
    <t xml:space="preserve">Maximum Path Sum</t>
  </si>
  <si>
    <t xml:space="preserve">Check if two trees are identical</t>
  </si>
  <si>
    <t xml:space="preserve">Zigzag / Spiral Traversal</t>
  </si>
  <si>
    <t xml:space="preserve">Boundary Traversal</t>
  </si>
  <si>
    <t xml:space="preserve">Vertical Order Traversal</t>
  </si>
  <si>
    <t xml:space="preserve">Top View of Binary Tree</t>
  </si>
  <si>
    <t xml:space="preserve">Bottom View of Binary Tree</t>
  </si>
  <si>
    <t xml:space="preserve">Right/Left View of Binary Tree</t>
  </si>
  <si>
    <t xml:space="preserve">Symmetric Binary Tree</t>
  </si>
  <si>
    <t xml:space="preserve">Children Sum Property</t>
  </si>
  <si>
    <t xml:space="preserve">13.3 Hard</t>
  </si>
  <si>
    <t xml:space="preserve">Root to Node Path</t>
  </si>
  <si>
    <t xml:space="preserve">LCA in Binary Tree</t>
  </si>
  <si>
    <t xml:space="preserve">Maximum width of Binary Tree</t>
  </si>
  <si>
    <t xml:space="preserve">Print all nodes at distance K</t>
  </si>
  <si>
    <t xml:space="preserve">Minimum time to burn the tree</t>
  </si>
  <si>
    <t xml:space="preserve">Count nodes in Complete Binary Tree</t>
  </si>
  <si>
    <t xml:space="preserve">Requirements for unique BT</t>
  </si>
  <si>
    <t xml:space="preserve">Construct BT from Preorder &amp; Inorder</t>
  </si>
  <si>
    <t xml:space="preserve">Construct BT from Postorder &amp; Inorder</t>
  </si>
  <si>
    <t xml:space="preserve">Serialize and Deserialize Binary Tree</t>
  </si>
  <si>
    <t xml:space="preserve">Morris Preorder Traversal</t>
  </si>
  <si>
    <t xml:space="preserve">Morris Inorder Traversal</t>
  </si>
  <si>
    <t xml:space="preserve">Flatten Binary Tree to LinkedList</t>
  </si>
  <si>
    <t xml:space="preserve">Symmetric / mirror check</t>
  </si>
  <si>
    <t xml:space="preserve">Binary Search Trees</t>
  </si>
  <si>
    <t xml:space="preserve">14.1 Concept</t>
  </si>
  <si>
    <t xml:space="preserve">Introduction to BST</t>
  </si>
  <si>
    <t xml:space="preserve">Search in a BST</t>
  </si>
  <si>
    <t xml:space="preserve">Find Min/Max in BST</t>
  </si>
  <si>
    <t xml:space="preserve">14.2 Practice</t>
  </si>
  <si>
    <t xml:space="preserve">Ceil in a BST</t>
  </si>
  <si>
    <t xml:space="preserve">Floor in a BST</t>
  </si>
  <si>
    <t xml:space="preserve">Insert a node in BST</t>
  </si>
  <si>
    <t xml:space="preserve">Delete a node in BST</t>
  </si>
  <si>
    <t xml:space="preserve">Kth smallest/largest in BST</t>
  </si>
  <si>
    <t xml:space="preserve">Check if a tree is a BST</t>
  </si>
  <si>
    <t xml:space="preserve">LCA in BST</t>
  </si>
  <si>
    <t xml:space="preserve">Construct BST from preorder</t>
  </si>
  <si>
    <t xml:space="preserve">Inorder Successor/Predecessor</t>
  </si>
  <si>
    <t xml:space="preserve">BST Iterator</t>
  </si>
  <si>
    <t xml:space="preserve">Two Sum in BST</t>
  </si>
  <si>
    <t xml:space="preserve">Recover BST (two swapped nodes)</t>
  </si>
  <si>
    <t xml:space="preserve">Largest BST in Binary Tree</t>
  </si>
  <si>
    <t xml:space="preserve">Graphs</t>
  </si>
  <si>
    <t xml:space="preserve">15.1 Learning</t>
  </si>
  <si>
    <t xml:space="preserve">Graph and its Types</t>
  </si>
  <si>
    <t xml:space="preserve">Graph Representation</t>
  </si>
  <si>
    <t xml:space="preserve">Connected Components</t>
  </si>
  <si>
    <t xml:space="preserve">BFS Traversal</t>
  </si>
  <si>
    <t xml:space="preserve">DFS Traversal</t>
  </si>
  <si>
    <t xml:space="preserve">15.2 BFS/DFS Problems</t>
  </si>
  <si>
    <t xml:space="preserve">Number of Provinces</t>
  </si>
  <si>
    <t xml:space="preserve">Number of Islands</t>
  </si>
  <si>
    <t xml:space="preserve">Flood Fill</t>
  </si>
  <si>
    <t xml:space="preserve">Rotten Oranges</t>
  </si>
  <si>
    <t xml:space="preserve">Detect cycle in undirected (BFS)</t>
  </si>
  <si>
    <t xml:space="preserve">Detect cycle in undirected (DFS)</t>
  </si>
  <si>
    <t xml:space="preserve">0/1 Matrix (nearest cell distance)</t>
  </si>
  <si>
    <t xml:space="preserve">Surrounded Regions</t>
  </si>
  <si>
    <t xml:space="preserve">Number of Enclaves</t>
  </si>
  <si>
    <t xml:space="preserve">Word Ladder I</t>
  </si>
  <si>
    <t xml:space="preserve">Word Ladder II</t>
  </si>
  <si>
    <t xml:space="preserve">Number of Distinct Islands</t>
  </si>
  <si>
    <t xml:space="preserve">Bipartite Graph</t>
  </si>
  <si>
    <t xml:space="preserve">Detect cycle in directed (DFS)</t>
  </si>
  <si>
    <t xml:space="preserve">15.3 Topo Sort &amp; Problems</t>
  </si>
  <si>
    <t xml:space="preserve">Topological Sort (DFS)</t>
  </si>
  <si>
    <t xml:space="preserve">Kahn's Algorithm (BFS Topo)</t>
  </si>
  <si>
    <t xml:space="preserve">Detect cycle in directed (BFS)</t>
  </si>
  <si>
    <t xml:space="preserve">Course Schedule I</t>
  </si>
  <si>
    <t xml:space="preserve">Course Schedule II</t>
  </si>
  <si>
    <t xml:space="preserve">Find eventual safe states</t>
  </si>
  <si>
    <t xml:space="preserve">Alien Dictionary</t>
  </si>
  <si>
    <t xml:space="preserve">15.4 Shortest Path</t>
  </si>
  <si>
    <t xml:space="preserve">Shortest Path in UG (unit weights)</t>
  </si>
  <si>
    <t xml:space="preserve">Shortest Path in DAG</t>
  </si>
  <si>
    <t xml:space="preserve">Dijkstra's Algorithm (PQ)</t>
  </si>
  <si>
    <t xml:space="preserve">Dijkstra's Algorithm (Set)</t>
  </si>
  <si>
    <t xml:space="preserve">Shortest path in binary maze</t>
  </si>
  <si>
    <t xml:space="preserve">Path with minimum effort</t>
  </si>
  <si>
    <t xml:space="preserve">Cheapest flights within K stops</t>
  </si>
  <si>
    <t xml:space="preserve">Number of ways to arrive at destination</t>
  </si>
  <si>
    <t xml:space="preserve">Minimum multiplications to reach end</t>
  </si>
  <si>
    <t xml:space="preserve">Bellman-Ford Algorithm</t>
  </si>
  <si>
    <t xml:space="preserve">Floyd Warshall Algorithm</t>
  </si>
  <si>
    <t xml:space="preserve">City with smallest number of neighbours</t>
  </si>
  <si>
    <t xml:space="preserve">Network Delay Time</t>
  </si>
  <si>
    <t xml:space="preserve">15.5 MST / Disjoint Set</t>
  </si>
  <si>
    <t xml:space="preserve">Minimum Spanning Tree (theory)</t>
  </si>
  <si>
    <t xml:space="preserve">Prim's Algorithm</t>
  </si>
  <si>
    <t xml:space="preserve">Disjoint Set (Union by Rank/Size)</t>
  </si>
  <si>
    <t xml:space="preserve">Kruskal's Algorithm</t>
  </si>
  <si>
    <t xml:space="preserve">Operations to make network connected</t>
  </si>
  <si>
    <t xml:space="preserve">Most stones removed with same row/column</t>
  </si>
  <si>
    <t xml:space="preserve">Accounts Merge</t>
  </si>
  <si>
    <t xml:space="preserve">Number of Islands II</t>
  </si>
  <si>
    <t xml:space="preserve">Making a Large Island</t>
  </si>
  <si>
    <t xml:space="preserve">Swim in Rising Water</t>
  </si>
  <si>
    <t xml:space="preserve">15.6 Other Algorithms</t>
  </si>
  <si>
    <t xml:space="preserve">Bridges in Graph (Tarjan)</t>
  </si>
  <si>
    <t xml:space="preserve">Articulation Point</t>
  </si>
  <si>
    <t xml:space="preserve">Kosaraju's Algorithm (SCC)</t>
  </si>
  <si>
    <t xml:space="preserve">Dynamic Programming</t>
  </si>
  <si>
    <t xml:space="preserve">16.1 Intro</t>
  </si>
  <si>
    <t xml:space="preserve">Introduction to DP</t>
  </si>
  <si>
    <t xml:space="preserve">16.2 1D DP</t>
  </si>
  <si>
    <t xml:space="preserve">Climbing Stairs</t>
  </si>
  <si>
    <t xml:space="preserve">Frog Jump</t>
  </si>
  <si>
    <t xml:space="preserve">Frog Jump with K distances</t>
  </si>
  <si>
    <t xml:space="preserve">House Robber (non-adjacent)</t>
  </si>
  <si>
    <t xml:space="preserve">House Robber II</t>
  </si>
  <si>
    <t xml:space="preserve">16.3 2D DP / Grids</t>
  </si>
  <si>
    <t xml:space="preserve">Ninja's Training</t>
  </si>
  <si>
    <t xml:space="preserve">Grid Unique Paths</t>
  </si>
  <si>
    <t xml:space="preserve">Grid Unique Paths II</t>
  </si>
  <si>
    <t xml:space="preserve">Minimum Path Sum in Grid</t>
  </si>
  <si>
    <t xml:space="preserve">Minimum Path Sum (Triangle)</t>
  </si>
  <si>
    <t xml:space="preserve">Min/Max Falling Path Sum</t>
  </si>
  <si>
    <t xml:space="preserve">Cherry Pickup II</t>
  </si>
  <si>
    <t xml:space="preserve">16.4 DP on Subsequences</t>
  </si>
  <si>
    <t xml:space="preserve">Subset Sum equal to target</t>
  </si>
  <si>
    <t xml:space="preserve">Partition Equal Subset Sum</t>
  </si>
  <si>
    <t xml:space="preserve">Partition with min absolute difference</t>
  </si>
  <si>
    <t xml:space="preserve">Count subsets with sum K</t>
  </si>
  <si>
    <t xml:space="preserve">Count partitions with given difference</t>
  </si>
  <si>
    <t xml:space="preserve">0/1 Knapsack</t>
  </si>
  <si>
    <t xml:space="preserve">Minimum Coins</t>
  </si>
  <si>
    <t xml:space="preserve">Target Sum</t>
  </si>
  <si>
    <t xml:space="preserve">Coin Change II</t>
  </si>
  <si>
    <t xml:space="preserve">Unbounded Knapsack</t>
  </si>
  <si>
    <t xml:space="preserve">Rod Cutting Problem</t>
  </si>
  <si>
    <t xml:space="preserve">16.5 DP on Strings</t>
  </si>
  <si>
    <t xml:space="preserve">Longest Common Subsequence</t>
  </si>
  <si>
    <t xml:space="preserve">Print LCS</t>
  </si>
  <si>
    <t xml:space="preserve">Longest Common Substring</t>
  </si>
  <si>
    <t xml:space="preserve">Longest Palindromic Subsequence</t>
  </si>
  <si>
    <t xml:space="preserve">Min insertions to make palindrome</t>
  </si>
  <si>
    <t xml:space="preserve">Min insertions/deletions A to B</t>
  </si>
  <si>
    <t xml:space="preserve">Shortest Common Supersequence</t>
  </si>
  <si>
    <t xml:space="preserve">Distinct Subsequences</t>
  </si>
  <si>
    <t xml:space="preserve">Edit Distance</t>
  </si>
  <si>
    <t xml:space="preserve">Wildcard Matching</t>
  </si>
  <si>
    <t xml:space="preserve">16.6 DP on Stocks</t>
  </si>
  <si>
    <t xml:space="preserve">Best Time to Buy and Sell Stock</t>
  </si>
  <si>
    <t xml:space="preserve">Buy and Sell Stock II</t>
  </si>
  <si>
    <t xml:space="preserve">Buy and Sell Stock III</t>
  </si>
  <si>
    <t xml:space="preserve">Buy and Sell Stock IV</t>
  </si>
  <si>
    <t xml:space="preserve">Buy and Sell with cooldown</t>
  </si>
  <si>
    <t xml:space="preserve">Buy and Sell with transaction fee</t>
  </si>
  <si>
    <t xml:space="preserve">16.7 DP on LIS</t>
  </si>
  <si>
    <t xml:space="preserve">Longest Increasing Subsequence</t>
  </si>
  <si>
    <t xml:space="preserve">Printing LIS</t>
  </si>
  <si>
    <t xml:space="preserve">LIS using Binary Search</t>
  </si>
  <si>
    <t xml:space="preserve">Largest Divisible Subset</t>
  </si>
  <si>
    <t xml:space="preserve">Longest String Chain</t>
  </si>
  <si>
    <t xml:space="preserve">Longest Bitonic Subsequence</t>
  </si>
  <si>
    <t xml:space="preserve">Number of Longest Increasing Subsequences</t>
  </si>
  <si>
    <t xml:space="preserve">16.8 MCM / Partition DP</t>
  </si>
  <si>
    <t xml:space="preserve">Matrix Chain Multiplication</t>
  </si>
  <si>
    <t xml:space="preserve">MCM (Bottom-up)</t>
  </si>
  <si>
    <t xml:space="preserve">Minimum cost to cut the stick</t>
  </si>
  <si>
    <t xml:space="preserve">Burst Balloons</t>
  </si>
  <si>
    <t xml:space="preserve">Evaluate Boolean Expression to True</t>
  </si>
  <si>
    <t xml:space="preserve">Palindrome Partitioning II</t>
  </si>
  <si>
    <t xml:space="preserve">Partition Array for Maximum Sum</t>
  </si>
  <si>
    <t xml:space="preserve">16.9 DP on Squares</t>
  </si>
  <si>
    <t xml:space="preserve">Count Square Submatrices with All Ones</t>
  </si>
  <si>
    <t xml:space="preserve">Tries</t>
  </si>
  <si>
    <t xml:space="preserve">17.1 Problems</t>
  </si>
  <si>
    <t xml:space="preserve">Implement Trie (Insert/Search/StartsWith)</t>
  </si>
  <si>
    <t xml:space="preserve">Implement Trie II (Prefix Tree)</t>
  </si>
  <si>
    <t xml:space="preserve">Longest String with all prefixes</t>
  </si>
  <si>
    <t xml:space="preserve">Number of Distinct Substrings</t>
  </si>
  <si>
    <t xml:space="preserve">Bit prerequisites for Trie</t>
  </si>
  <si>
    <t xml:space="preserve">Maximum XOR of two numbers in array</t>
  </si>
  <si>
    <t xml:space="preserve">Maximum XOR with element from array</t>
  </si>
  <si>
    <t xml:space="preserve">Strings (Hard)</t>
  </si>
  <si>
    <t xml:space="preserve">18.1 Problems</t>
  </si>
  <si>
    <t xml:space="preserve">Minimum bracket reversals</t>
  </si>
  <si>
    <t xml:space="preserve">Count and Say</t>
  </si>
  <si>
    <t xml:space="preserve">Hashing in Strings (theory)</t>
  </si>
  <si>
    <t xml:space="preserve">Rabin Karp</t>
  </si>
  <si>
    <t xml:space="preserve">Z-Function</t>
  </si>
  <si>
    <t xml:space="preserve">KMP Algo / LPS array</t>
  </si>
  <si>
    <t xml:space="preserve">Shortest Palindrome</t>
  </si>
  <si>
    <t xml:space="preserve">Longest Happy Prefix</t>
  </si>
  <si>
    <t xml:space="preserve">Count palindromic subsequences</t>
  </si>
  <si>
    <t xml:space="preserve">STRIVER A2Z DSA — PROGRESS DASHBOARD</t>
  </si>
  <si>
    <t xml:space="preserve">Overall progress</t>
  </si>
  <si>
    <t xml:space="preserve">Total problems</t>
  </si>
  <si>
    <t xml:space="preserve">Solved</t>
  </si>
  <si>
    <t xml:space="preserve">Remaining</t>
  </si>
  <si>
    <t xml:space="preserve">Percent complete</t>
  </si>
  <si>
    <t xml:space="preserve">To revisit</t>
  </si>
  <si>
    <t xml:space="preserve">Progress by Step</t>
  </si>
  <si>
    <t xml:space="preserve">Total</t>
  </si>
  <si>
    <t xml:space="preserve">% Done</t>
  </si>
  <si>
    <t xml:space="preserve">TOTAL</t>
  </si>
  <si>
    <t xml:space="preserve">Striver A2Z DSA — 455 Problem Tracker</t>
  </si>
  <si>
    <t xml:space="preserve">This workbook lists every problem of the Striver A2Z sheet, step by step.</t>
  </si>
  <si>
    <t xml:space="preserve">HOW TO USE</t>
  </si>
  <si>
    <t xml:space="preserve">1. Work top to bottom on the 'Tracker' sheet — it follows Striver's exact order.</t>
  </si>
  <si>
    <t xml:space="preserve">2. Click 'open' (LeetCode column) for the problem, '▶ video' for Striver's solution.</t>
  </si>
  <si>
    <t xml:space="preserve">3. Tick the 'Done' column (pick the ✓) when finished — the cell turns green.</t>
  </si>
  <si>
    <t xml:space="preserve">4. Optionally set the Status dropdown too: Not Started / Solved / Revisit.</t>
  </si>
  <si>
    <t xml:space="preserve">5. Fill Date Solved and a one-line Note (the pattern + the trick).</t>
  </si>
  <si>
    <t xml:space="preserve">6. Mark Revisit = Yes for anything that took over 30 min — re-solve it in 2 days.</t>
  </si>
  <si>
    <t xml:space="preserve">7. The 'Dashboard' updates automatically: overall % and per-step progress.</t>
  </si>
  <si>
    <t xml:space="preserve">8. Use the filter arrows on the header to view one step or one difficulty.</t>
  </si>
  <si>
    <t xml:space="preserve">ABOUT THE LINKS</t>
  </si>
  <si>
    <t xml:space="preserve">Each link uses a redirect that jumps straight to the TOP search result, so the</t>
  </si>
  <si>
    <t xml:space="preserve">LeetCode link opens the actual problem page and the video link opens Striver's</t>
  </si>
  <si>
    <t xml:space="preserve">solution video directly — not a search page. A few A2Z problems live on</t>
  </si>
  <si>
    <t xml:space="preserve">GeeksforGeeks/Coding Ninjas; for those the link lands on the closest match.</t>
  </si>
  <si>
    <t xml:space="preserve">(Links open in your default browser. If a click does nothing, your spreadsheet app</t>
  </si>
  <si>
    <t xml:space="preserve">may block links — right-click the cell and choose 'Open Hyperlink', or open the</t>
  </si>
  <si>
    <t xml:space="preserve">file in Excel / Google Sheets / LibreOffice rather than a quick-preview window.)</t>
  </si>
  <si>
    <t xml:space="preserve">NOTE ON ACCURACY</t>
  </si>
  <si>
    <t xml:space="preserve">Compiled from the standard Striver A2Z structure (18 steps, ~454 problems).</t>
  </si>
  <si>
    <t xml:space="preserve">Striver occasionally adds/renames a few problems — cross-check the live sheet at</t>
  </si>
  <si>
    <t xml:space="preserve">takeuforward.org for any last-minute additions.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</si>
</sst>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b val="true"/>
      <sz val="9.5"/>
      <color rgb="FF1B7A4B"/>
      <name val="Arial"/>
      <family val="0"/>
      <charset val="1"/>
    </font>
    <font>
      <u val="single"/>
      <sz val="9.5"/>
      <color rgb="FF2C5F9E"/>
      <name val="Arial"/>
      <family val="0"/>
      <charset val="1"/>
    </font>
    <font>
      <u val="single"/>
      <sz val="9.5"/>
      <color rgb="FFB23A48"/>
      <name val="Arial"/>
      <family val="0"/>
      <charset val="1"/>
    </font>
    <font>
      <b val="true"/>
      <sz val="9.5"/>
      <color rgb="FFB7791F"/>
      <name val="Arial"/>
      <family val="0"/>
      <charset val="1"/>
    </font>
    <font>
      <b val="true"/>
      <sz val="9.5"/>
      <color rgb="FFB23A48"/>
      <name val="Arial"/>
      <family val="0"/>
      <charset val="1"/>
    </font>
    <font>
      <b val="true"/>
      <sz val="14"/>
      <color rgb="FF5B2C9E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5B2C9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2A4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B2C9E"/>
        <bgColor rgb="FF660066"/>
      </patternFill>
    </fill>
    <fill>
      <patternFill patternType="solid">
        <fgColor rgb="FF1F2A44"/>
        <bgColor rgb="FF003366"/>
      </patternFill>
    </fill>
    <fill>
      <patternFill patternType="solid">
        <fgColor rgb="FFF2ED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5B2C9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7A4B"/>
          <bgColor rgb="FF000000"/>
        </patternFill>
      </fill>
    </dxf>
    <dxf>
      <fill>
        <patternFill patternType="solid">
          <fgColor rgb="FFB23A48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2C5F9E"/>
          <bgColor rgb="FF000000"/>
        </patternFill>
      </fill>
    </dxf>
    <dxf>
      <font>
        <name val="Arial"/>
        <charset val="1"/>
        <family val="0"/>
        <b val="1"/>
        <color rgb="FF1B7A4B"/>
        <sz val="12"/>
      </font>
      <fill>
        <patternFill>
          <bgColor rgb="FFC6EFCE"/>
        </patternFill>
      </fill>
    </dxf>
    <dxf>
      <font>
        <name val="Arial"/>
        <charset val="1"/>
        <family val="0"/>
        <color rgb="FF1B7A4B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B7791F"/>
        <sz val="9"/>
      </font>
      <fill>
        <patternFill>
          <bgColor rgb="FFFCE4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1B7A4B"/>
      <rgbColor rgb="FFCCCCCC"/>
      <rgbColor rgb="FF808080"/>
      <rgbColor rgb="FF9999FF"/>
      <rgbColor rgb="FFB23A48"/>
      <rgbColor rgb="FFFCE4CC"/>
      <rgbColor rgb="FFF2EDFA"/>
      <rgbColor rgb="FF660066"/>
      <rgbColor rgb="FFFF8080"/>
      <rgbColor rgb="FF2C5F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2C9E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uckduckgo.com/?q=%21ducky%20leetcode%20User%20Input%20/%20Output" TargetMode="External"/><Relationship Id="rId2" Type="http://schemas.openxmlformats.org/officeDocument/2006/relationships/hyperlink" Target="https://duckduckgo.com/?q=%21ducky%20striver%20takeUforward%20User%20Input%20/%20Output%20solution" TargetMode="External"/><Relationship Id="rId3" Type="http://schemas.openxmlformats.org/officeDocument/2006/relationships/hyperlink" Target="https://duckduckgo.com/?q=%21ducky%20leetcode%20Data%20Types" TargetMode="External"/><Relationship Id="rId4" Type="http://schemas.openxmlformats.org/officeDocument/2006/relationships/hyperlink" Target="https://duckduckgo.com/?q=%21ducky%20striver%20takeUforward%20Data%20Types%20solution" TargetMode="External"/><Relationship Id="rId5" Type="http://schemas.openxmlformats.org/officeDocument/2006/relationships/hyperlink" Target="https://duckduckgo.com/?q=%21ducky%20leetcode%20If-Else%20statements" TargetMode="External"/><Relationship Id="rId6" Type="http://schemas.openxmlformats.org/officeDocument/2006/relationships/hyperlink" Target="https://duckduckgo.com/?q=%21ducky%20striver%20takeUforward%20If-Else%20statements%20solution" TargetMode="External"/><Relationship Id="rId7" Type="http://schemas.openxmlformats.org/officeDocument/2006/relationships/hyperlink" Target="https://duckduckgo.com/?q=%21ducky%20leetcode%20Switch%20Statement" TargetMode="External"/><Relationship Id="rId8" Type="http://schemas.openxmlformats.org/officeDocument/2006/relationships/hyperlink" Target="https://duckduckgo.com/?q=%21ducky%20striver%20takeUforward%20Switch%20Statement%20solution" TargetMode="External"/><Relationship Id="rId9" Type="http://schemas.openxmlformats.org/officeDocument/2006/relationships/hyperlink" Target="https://duckduckgo.com/?q=%21ducky%20leetcode%20Arrays%2C%20Strings%20basics" TargetMode="External"/><Relationship Id="rId10" Type="http://schemas.openxmlformats.org/officeDocument/2006/relationships/hyperlink" Target="https://duckduckgo.com/?q=%21ducky%20striver%20takeUforward%20Arrays%2C%20Strings%20basics%20solution" TargetMode="External"/><Relationship Id="rId11" Type="http://schemas.openxmlformats.org/officeDocument/2006/relationships/hyperlink" Target="https://duckduckgo.com/?q=%21ducky%20leetcode%20For%20loops" TargetMode="External"/><Relationship Id="rId12" Type="http://schemas.openxmlformats.org/officeDocument/2006/relationships/hyperlink" Target="https://duckduckgo.com/?q=%21ducky%20striver%20takeUforward%20For%20loops%20solution" TargetMode="External"/><Relationship Id="rId13" Type="http://schemas.openxmlformats.org/officeDocument/2006/relationships/hyperlink" Target="https://duckduckgo.com/?q=%21ducky%20leetcode%20While%20loops" TargetMode="External"/><Relationship Id="rId14" Type="http://schemas.openxmlformats.org/officeDocument/2006/relationships/hyperlink" Target="https://duckduckgo.com/?q=%21ducky%20striver%20takeUforward%20While%20loops%20solution" TargetMode="External"/><Relationship Id="rId15" Type="http://schemas.openxmlformats.org/officeDocument/2006/relationships/hyperlink" Target="https://duckduckgo.com/?q=%21ducky%20leetcode%20Functions%20%28pass%20by%20ref/value%29" TargetMode="External"/><Relationship Id="rId16" Type="http://schemas.openxmlformats.org/officeDocument/2006/relationships/hyperlink" Target="https://duckduckgo.com/?q=%21ducky%20striver%20takeUforward%20Functions%20%28pass%20by%20ref/value%29%20solution" TargetMode="External"/><Relationship Id="rId17" Type="http://schemas.openxmlformats.org/officeDocument/2006/relationships/hyperlink" Target="https://duckduckgo.com/?q=%21ducky%20leetcode%20Time%20%26%20Space%20Complexity" TargetMode="External"/><Relationship Id="rId18" Type="http://schemas.openxmlformats.org/officeDocument/2006/relationships/hyperlink" Target="https://duckduckgo.com/?q=%21ducky%20striver%20takeUforward%20Time%20%26%20Space%20Complexity%20solution" TargetMode="External"/><Relationship Id="rId19" Type="http://schemas.openxmlformats.org/officeDocument/2006/relationships/hyperlink" Target="https://duckduckgo.com/?q=%21ducky%20leetcode%20Build-up%20Logical%20Thinking%20%28Patterns%29" TargetMode="External"/><Relationship Id="rId20" Type="http://schemas.openxmlformats.org/officeDocument/2006/relationships/hyperlink" Target="https://duckduckgo.com/?q=%21ducky%20striver%20takeUforward%20Build-up%20Logical%20Thinking%20%28Patterns%29%20solution" TargetMode="External"/><Relationship Id="rId21" Type="http://schemas.openxmlformats.org/officeDocument/2006/relationships/hyperlink" Target="https://duckduckgo.com/?q=%21ducky%20leetcode%20C%2B%2B%20STL" TargetMode="External"/><Relationship Id="rId22" Type="http://schemas.openxmlformats.org/officeDocument/2006/relationships/hyperlink" Target="https://duckduckgo.com/?q=%21ducky%20striver%20takeUforward%20C%2B%2B%20STL%20solution" TargetMode="External"/><Relationship Id="rId23" Type="http://schemas.openxmlformats.org/officeDocument/2006/relationships/hyperlink" Target="https://duckduckgo.com/?q=%21ducky%20leetcode%20Java%20Collections" TargetMode="External"/><Relationship Id="rId24" Type="http://schemas.openxmlformats.org/officeDocument/2006/relationships/hyperlink" Target="https://duckduckgo.com/?q=%21ducky%20striver%20takeUforward%20Java%20Collections%20solution" TargetMode="External"/><Relationship Id="rId25" Type="http://schemas.openxmlformats.org/officeDocument/2006/relationships/hyperlink" Target="https://duckduckgo.com/?q=%21ducky%20leetcode%20Count%20Digits" TargetMode="External"/><Relationship Id="rId26" Type="http://schemas.openxmlformats.org/officeDocument/2006/relationships/hyperlink" Target="https://duckduckgo.com/?q=%21ducky%20striver%20takeUforward%20Count%20Digits%20solution" TargetMode="External"/><Relationship Id="rId27" Type="http://schemas.openxmlformats.org/officeDocument/2006/relationships/hyperlink" Target="https://duckduckgo.com/?q=%21ducky%20leetcode%20Reverse%20a%20Number" TargetMode="External"/><Relationship Id="rId28" Type="http://schemas.openxmlformats.org/officeDocument/2006/relationships/hyperlink" Target="https://duckduckgo.com/?q=%21ducky%20striver%20takeUforward%20Reverse%20a%20Number%20solution" TargetMode="External"/><Relationship Id="rId29" Type="http://schemas.openxmlformats.org/officeDocument/2006/relationships/hyperlink" Target="https://duckduckgo.com/?q=%21ducky%20leetcode%20Check%20Palindrome" TargetMode="External"/><Relationship Id="rId30" Type="http://schemas.openxmlformats.org/officeDocument/2006/relationships/hyperlink" Target="https://duckduckgo.com/?q=%21ducky%20striver%20takeUforward%20Check%20Palindrome%20solution" TargetMode="External"/><Relationship Id="rId31" Type="http://schemas.openxmlformats.org/officeDocument/2006/relationships/hyperlink" Target="https://duckduckgo.com/?q=%21ducky%20leetcode%20GCD%20or%20HCF" TargetMode="External"/><Relationship Id="rId32" Type="http://schemas.openxmlformats.org/officeDocument/2006/relationships/hyperlink" Target="https://duckduckgo.com/?q=%21ducky%20striver%20takeUforward%20GCD%20or%20HCF%20solution" TargetMode="External"/><Relationship Id="rId33" Type="http://schemas.openxmlformats.org/officeDocument/2006/relationships/hyperlink" Target="https://duckduckgo.com/?q=%21ducky%20leetcode%20Armstrong%20Numbers" TargetMode="External"/><Relationship Id="rId34" Type="http://schemas.openxmlformats.org/officeDocument/2006/relationships/hyperlink" Target="https://duckduckgo.com/?q=%21ducky%20striver%20takeUforward%20Armstrong%20Numbers%20solution" TargetMode="External"/><Relationship Id="rId35" Type="http://schemas.openxmlformats.org/officeDocument/2006/relationships/hyperlink" Target="https://duckduckgo.com/?q=%21ducky%20leetcode%20Print%20all%20Divisors" TargetMode="External"/><Relationship Id="rId36" Type="http://schemas.openxmlformats.org/officeDocument/2006/relationships/hyperlink" Target="https://duckduckgo.com/?q=%21ducky%20striver%20takeUforward%20Print%20all%20Divisors%20solution" TargetMode="External"/><Relationship Id="rId37" Type="http://schemas.openxmlformats.org/officeDocument/2006/relationships/hyperlink" Target="https://duckduckgo.com/?q=%21ducky%20leetcode%20Check%20for%20Prime" TargetMode="External"/><Relationship Id="rId38" Type="http://schemas.openxmlformats.org/officeDocument/2006/relationships/hyperlink" Target="https://duckduckgo.com/?q=%21ducky%20striver%20takeUforward%20Check%20for%20Prime%20solution" TargetMode="External"/><Relationship Id="rId39" Type="http://schemas.openxmlformats.org/officeDocument/2006/relationships/hyperlink" Target="https://duckduckgo.com/?q=%21ducky%20leetcode%20Print%20something%20N%20times" TargetMode="External"/><Relationship Id="rId40" Type="http://schemas.openxmlformats.org/officeDocument/2006/relationships/hyperlink" Target="https://duckduckgo.com/?q=%21ducky%20striver%20takeUforward%20Print%20something%20N%20times%20solution" TargetMode="External"/><Relationship Id="rId41" Type="http://schemas.openxmlformats.org/officeDocument/2006/relationships/hyperlink" Target="https://duckduckgo.com/?q=%21ducky%20leetcode%20Print%20name%20N%20times" TargetMode="External"/><Relationship Id="rId42" Type="http://schemas.openxmlformats.org/officeDocument/2006/relationships/hyperlink" Target="https://duckduckgo.com/?q=%21ducky%20striver%20takeUforward%20Print%20name%20N%20times%20solution" TargetMode="External"/><Relationship Id="rId43" Type="http://schemas.openxmlformats.org/officeDocument/2006/relationships/hyperlink" Target="https://duckduckgo.com/?q=%21ducky%20leetcode%20Print%201%20to%20N" TargetMode="External"/><Relationship Id="rId44" Type="http://schemas.openxmlformats.org/officeDocument/2006/relationships/hyperlink" Target="https://duckduckgo.com/?q=%21ducky%20striver%20takeUforward%20Print%201%20to%20N%20solution" TargetMode="External"/><Relationship Id="rId45" Type="http://schemas.openxmlformats.org/officeDocument/2006/relationships/hyperlink" Target="https://duckduckgo.com/?q=%21ducky%20leetcode%20Print%20N%20to%201" TargetMode="External"/><Relationship Id="rId46" Type="http://schemas.openxmlformats.org/officeDocument/2006/relationships/hyperlink" Target="https://duckduckgo.com/?q=%21ducky%20striver%20takeUforward%20Print%20N%20to%201%20solution" TargetMode="External"/><Relationship Id="rId47" Type="http://schemas.openxmlformats.org/officeDocument/2006/relationships/hyperlink" Target="https://duckduckgo.com/?q=%21ducky%20leetcode%20Sum%20of%20first%20N%20numbers" TargetMode="External"/><Relationship Id="rId48" Type="http://schemas.openxmlformats.org/officeDocument/2006/relationships/hyperlink" Target="https://duckduckgo.com/?q=%21ducky%20striver%20takeUforward%20Sum%20of%20first%20N%20numbers%20solution" TargetMode="External"/><Relationship Id="rId49" Type="http://schemas.openxmlformats.org/officeDocument/2006/relationships/hyperlink" Target="https://duckduckgo.com/?q=%21ducky%20leetcode%20Factorial%20of%20N" TargetMode="External"/><Relationship Id="rId50" Type="http://schemas.openxmlformats.org/officeDocument/2006/relationships/hyperlink" Target="https://duckduckgo.com/?q=%21ducky%20striver%20takeUforward%20Factorial%20of%20N%20solution" TargetMode="External"/><Relationship Id="rId51" Type="http://schemas.openxmlformats.org/officeDocument/2006/relationships/hyperlink" Target="https://duckduckgo.com/?q=%21ducky%20leetcode%20Reverse%20an%20array%20%28recursion%29" TargetMode="External"/><Relationship Id="rId52" Type="http://schemas.openxmlformats.org/officeDocument/2006/relationships/hyperlink" Target="https://duckduckgo.com/?q=%21ducky%20striver%20takeUforward%20Reverse%20an%20array%20%28recursion%29%20solution" TargetMode="External"/><Relationship Id="rId53" Type="http://schemas.openxmlformats.org/officeDocument/2006/relationships/hyperlink" Target="https://duckduckgo.com/?q=%21ducky%20leetcode%20Check%20string%20palindrome%20%28recursion%29" TargetMode="External"/><Relationship Id="rId54" Type="http://schemas.openxmlformats.org/officeDocument/2006/relationships/hyperlink" Target="https://duckduckgo.com/?q=%21ducky%20striver%20takeUforward%20Check%20string%20palindrome%20%28recursion%29%20solution" TargetMode="External"/><Relationship Id="rId55" Type="http://schemas.openxmlformats.org/officeDocument/2006/relationships/hyperlink" Target="https://duckduckgo.com/?q=%21ducky%20leetcode%20Fibonacci%20Number" TargetMode="External"/><Relationship Id="rId56" Type="http://schemas.openxmlformats.org/officeDocument/2006/relationships/hyperlink" Target="https://duckduckgo.com/?q=%21ducky%20striver%20takeUforward%20Fibonacci%20Number%20solution" TargetMode="External"/><Relationship Id="rId57" Type="http://schemas.openxmlformats.org/officeDocument/2006/relationships/hyperlink" Target="https://duckduckgo.com/?q=%21ducky%20leetcode%20Hashing%20Theory" TargetMode="External"/><Relationship Id="rId58" Type="http://schemas.openxmlformats.org/officeDocument/2006/relationships/hyperlink" Target="https://duckduckgo.com/?q=%21ducky%20striver%20takeUforward%20Hashing%20Theory%20solution" TargetMode="External"/><Relationship Id="rId59" Type="http://schemas.openxmlformats.org/officeDocument/2006/relationships/hyperlink" Target="https://duckduckgo.com/?q=%21ducky%20leetcode%20Count%20frequency%20of%20elements" TargetMode="External"/><Relationship Id="rId60" Type="http://schemas.openxmlformats.org/officeDocument/2006/relationships/hyperlink" Target="https://duckduckgo.com/?q=%21ducky%20striver%20takeUforward%20Count%20frequency%20of%20elements%20solution" TargetMode="External"/><Relationship Id="rId61" Type="http://schemas.openxmlformats.org/officeDocument/2006/relationships/hyperlink" Target="https://duckduckgo.com/?q=%21ducky%20leetcode%20Highest/Lowest%20frequency%20element" TargetMode="External"/><Relationship Id="rId62" Type="http://schemas.openxmlformats.org/officeDocument/2006/relationships/hyperlink" Target="https://duckduckgo.com/?q=%21ducky%20striver%20takeUforward%20Highest/Lowest%20frequency%20element%20solution" TargetMode="External"/><Relationship Id="rId63" Type="http://schemas.openxmlformats.org/officeDocument/2006/relationships/hyperlink" Target="https://duckduckgo.com/?q=%21ducky%20leetcode%20Selection%20Sort" TargetMode="External"/><Relationship Id="rId64" Type="http://schemas.openxmlformats.org/officeDocument/2006/relationships/hyperlink" Target="https://duckduckgo.com/?q=%21ducky%20striver%20takeUforward%20Selection%20Sort%20solution" TargetMode="External"/><Relationship Id="rId65" Type="http://schemas.openxmlformats.org/officeDocument/2006/relationships/hyperlink" Target="https://duckduckgo.com/?q=%21ducky%20leetcode%20Bubble%20Sort" TargetMode="External"/><Relationship Id="rId66" Type="http://schemas.openxmlformats.org/officeDocument/2006/relationships/hyperlink" Target="https://duckduckgo.com/?q=%21ducky%20striver%20takeUforward%20Bubble%20Sort%20solution" TargetMode="External"/><Relationship Id="rId67" Type="http://schemas.openxmlformats.org/officeDocument/2006/relationships/hyperlink" Target="https://duckduckgo.com/?q=%21ducky%20leetcode%20Insertion%20Sort" TargetMode="External"/><Relationship Id="rId68" Type="http://schemas.openxmlformats.org/officeDocument/2006/relationships/hyperlink" Target="https://duckduckgo.com/?q=%21ducky%20striver%20takeUforward%20Insertion%20Sort%20solution" TargetMode="External"/><Relationship Id="rId69" Type="http://schemas.openxmlformats.org/officeDocument/2006/relationships/hyperlink" Target="https://duckduckgo.com/?q=%21ducky%20leetcode%20Merge%20Sort" TargetMode="External"/><Relationship Id="rId70" Type="http://schemas.openxmlformats.org/officeDocument/2006/relationships/hyperlink" Target="https://duckduckgo.com/?q=%21ducky%20striver%20takeUforward%20Merge%20Sort%20solution" TargetMode="External"/><Relationship Id="rId71" Type="http://schemas.openxmlformats.org/officeDocument/2006/relationships/hyperlink" Target="https://duckduckgo.com/?q=%21ducky%20leetcode%20Recursive%20Bubble%20Sort" TargetMode="External"/><Relationship Id="rId72" Type="http://schemas.openxmlformats.org/officeDocument/2006/relationships/hyperlink" Target="https://duckduckgo.com/?q=%21ducky%20striver%20takeUforward%20Recursive%20Bubble%20Sort%20solution" TargetMode="External"/><Relationship Id="rId73" Type="http://schemas.openxmlformats.org/officeDocument/2006/relationships/hyperlink" Target="https://duckduckgo.com/?q=%21ducky%20leetcode%20Recursive%20Insertion%20Sort" TargetMode="External"/><Relationship Id="rId74" Type="http://schemas.openxmlformats.org/officeDocument/2006/relationships/hyperlink" Target="https://duckduckgo.com/?q=%21ducky%20striver%20takeUforward%20Recursive%20Insertion%20Sort%20solution" TargetMode="External"/><Relationship Id="rId75" Type="http://schemas.openxmlformats.org/officeDocument/2006/relationships/hyperlink" Target="https://duckduckgo.com/?q=%21ducky%20leetcode%20Quick%20Sort" TargetMode="External"/><Relationship Id="rId76" Type="http://schemas.openxmlformats.org/officeDocument/2006/relationships/hyperlink" Target="https://duckduckgo.com/?q=%21ducky%20striver%20takeUforward%20Quick%20Sort%20solution" TargetMode="External"/><Relationship Id="rId77" Type="http://schemas.openxmlformats.org/officeDocument/2006/relationships/hyperlink" Target="https://duckduckgo.com/?q=%21ducky%20leetcode%20Largest%20Element%20in%20Array" TargetMode="External"/><Relationship Id="rId78" Type="http://schemas.openxmlformats.org/officeDocument/2006/relationships/hyperlink" Target="https://duckduckgo.com/?q=%21ducky%20striver%20takeUforward%20Largest%20Element%20in%20Array%20solution" TargetMode="External"/><Relationship Id="rId79" Type="http://schemas.openxmlformats.org/officeDocument/2006/relationships/hyperlink" Target="https://duckduckgo.com/?q=%21ducky%20leetcode%20Second%20Largest%20Element" TargetMode="External"/><Relationship Id="rId80" Type="http://schemas.openxmlformats.org/officeDocument/2006/relationships/hyperlink" Target="https://duckduckgo.com/?q=%21ducky%20striver%20takeUforward%20Second%20Largest%20Element%20solution" TargetMode="External"/><Relationship Id="rId81" Type="http://schemas.openxmlformats.org/officeDocument/2006/relationships/hyperlink" Target="https://duckduckgo.com/?q=%21ducky%20leetcode%20Check%20if%20array%20is%20sorted" TargetMode="External"/><Relationship Id="rId82" Type="http://schemas.openxmlformats.org/officeDocument/2006/relationships/hyperlink" Target="https://duckduckgo.com/?q=%21ducky%20striver%20takeUforward%20Check%20if%20array%20is%20sorted%20solution" TargetMode="External"/><Relationship Id="rId83" Type="http://schemas.openxmlformats.org/officeDocument/2006/relationships/hyperlink" Target="https://duckduckgo.com/?q=%21ducky%20leetcode%20Remove%20duplicates%20from%20sorted%20array" TargetMode="External"/><Relationship Id="rId84" Type="http://schemas.openxmlformats.org/officeDocument/2006/relationships/hyperlink" Target="https://duckduckgo.com/?q=%21ducky%20striver%20takeUforward%20Remove%20duplicates%20from%20sorted%20array%20solution" TargetMode="External"/><Relationship Id="rId85" Type="http://schemas.openxmlformats.org/officeDocument/2006/relationships/hyperlink" Target="https://duckduckgo.com/?q=%21ducky%20leetcode%20Left%20rotate%20array%20by%20one" TargetMode="External"/><Relationship Id="rId86" Type="http://schemas.openxmlformats.org/officeDocument/2006/relationships/hyperlink" Target="https://duckduckgo.com/?q=%21ducky%20striver%20takeUforward%20Left%20rotate%20array%20by%20one%20solution" TargetMode="External"/><Relationship Id="rId87" Type="http://schemas.openxmlformats.org/officeDocument/2006/relationships/hyperlink" Target="https://duckduckgo.com/?q=%21ducky%20leetcode%20Left%20rotate%20array%20by%20D%20places" TargetMode="External"/><Relationship Id="rId88" Type="http://schemas.openxmlformats.org/officeDocument/2006/relationships/hyperlink" Target="https://duckduckgo.com/?q=%21ducky%20striver%20takeUforward%20Left%20rotate%20array%20by%20D%20places%20solution" TargetMode="External"/><Relationship Id="rId89" Type="http://schemas.openxmlformats.org/officeDocument/2006/relationships/hyperlink" Target="https://duckduckgo.com/?q=%21ducky%20leetcode%20Move%20zeros%20to%20end" TargetMode="External"/><Relationship Id="rId90" Type="http://schemas.openxmlformats.org/officeDocument/2006/relationships/hyperlink" Target="https://duckduckgo.com/?q=%21ducky%20striver%20takeUforward%20Move%20zeros%20to%20end%20solution" TargetMode="External"/><Relationship Id="rId91" Type="http://schemas.openxmlformats.org/officeDocument/2006/relationships/hyperlink" Target="https://duckduckgo.com/?q=%21ducky%20leetcode%20Linear%20Search" TargetMode="External"/><Relationship Id="rId92" Type="http://schemas.openxmlformats.org/officeDocument/2006/relationships/hyperlink" Target="https://duckduckgo.com/?q=%21ducky%20striver%20takeUforward%20Linear%20Search%20solution" TargetMode="External"/><Relationship Id="rId93" Type="http://schemas.openxmlformats.org/officeDocument/2006/relationships/hyperlink" Target="https://duckduckgo.com/?q=%21ducky%20leetcode%20Union%20of%20two%20sorted%20arrays" TargetMode="External"/><Relationship Id="rId94" Type="http://schemas.openxmlformats.org/officeDocument/2006/relationships/hyperlink" Target="https://duckduckgo.com/?q=%21ducky%20striver%20takeUforward%20Union%20of%20two%20sorted%20arrays%20solution" TargetMode="External"/><Relationship Id="rId95" Type="http://schemas.openxmlformats.org/officeDocument/2006/relationships/hyperlink" Target="https://duckduckgo.com/?q=%21ducky%20leetcode%20Intersection%20of%20two%20sorted%20arrays" TargetMode="External"/><Relationship Id="rId96" Type="http://schemas.openxmlformats.org/officeDocument/2006/relationships/hyperlink" Target="https://duckduckgo.com/?q=%21ducky%20striver%20takeUforward%20Intersection%20of%20two%20sorted%20arrays%20solution" TargetMode="External"/><Relationship Id="rId97" Type="http://schemas.openxmlformats.org/officeDocument/2006/relationships/hyperlink" Target="https://duckduckgo.com/?q=%21ducky%20leetcode%20Find%20missing%20number" TargetMode="External"/><Relationship Id="rId98" Type="http://schemas.openxmlformats.org/officeDocument/2006/relationships/hyperlink" Target="https://duckduckgo.com/?q=%21ducky%20striver%20takeUforward%20Find%20missing%20number%20solution" TargetMode="External"/><Relationship Id="rId99" Type="http://schemas.openxmlformats.org/officeDocument/2006/relationships/hyperlink" Target="https://duckduckgo.com/?q=%21ducky%20leetcode%20Max%20consecutive%20ones" TargetMode="External"/><Relationship Id="rId100" Type="http://schemas.openxmlformats.org/officeDocument/2006/relationships/hyperlink" Target="https://duckduckgo.com/?q=%21ducky%20striver%20takeUforward%20Max%20consecutive%20ones%20solution" TargetMode="External"/><Relationship Id="rId101" Type="http://schemas.openxmlformats.org/officeDocument/2006/relationships/hyperlink" Target="https://duckduckgo.com/?q=%21ducky%20leetcode%20Number%20appearing%20once%20%28others%20twice%29" TargetMode="External"/><Relationship Id="rId102" Type="http://schemas.openxmlformats.org/officeDocument/2006/relationships/hyperlink" Target="https://duckduckgo.com/?q=%21ducky%20striver%20takeUforward%20Number%20appearing%20once%20%28others%20twice%29%20solution" TargetMode="External"/><Relationship Id="rId103" Type="http://schemas.openxmlformats.org/officeDocument/2006/relationships/hyperlink" Target="https://duckduckgo.com/?q=%21ducky%20leetcode%20Longest%20subarray%20with%20sum%20K%20%28positives%29" TargetMode="External"/><Relationship Id="rId104" Type="http://schemas.openxmlformats.org/officeDocument/2006/relationships/hyperlink" Target="https://duckduckgo.com/?q=%21ducky%20striver%20takeUforward%20Longest%20subarray%20with%20sum%20K%20%28positives%29%20solution" TargetMode="External"/><Relationship Id="rId105" Type="http://schemas.openxmlformats.org/officeDocument/2006/relationships/hyperlink" Target="https://duckduckgo.com/?q=%21ducky%20leetcode%20Longest%20subarray%20with%20sum%20K%20%28pos%2Bneg%29" TargetMode="External"/><Relationship Id="rId106" Type="http://schemas.openxmlformats.org/officeDocument/2006/relationships/hyperlink" Target="https://duckduckgo.com/?q=%21ducky%20striver%20takeUforward%20Longest%20subarray%20with%20sum%20K%20%28pos%2Bneg%29%20solution" TargetMode="External"/><Relationship Id="rId107" Type="http://schemas.openxmlformats.org/officeDocument/2006/relationships/hyperlink" Target="https://duckduckgo.com/?q=%21ducky%20leetcode%20Two%20Sum" TargetMode="External"/><Relationship Id="rId108" Type="http://schemas.openxmlformats.org/officeDocument/2006/relationships/hyperlink" Target="https://duckduckgo.com/?q=%21ducky%20striver%20takeUforward%20Two%20Sum%20solution" TargetMode="External"/><Relationship Id="rId109" Type="http://schemas.openxmlformats.org/officeDocument/2006/relationships/hyperlink" Target="https://duckduckgo.com/?q=%21ducky%20leetcode%20Sort%20array%20of%200s%201s%202s" TargetMode="External"/><Relationship Id="rId110" Type="http://schemas.openxmlformats.org/officeDocument/2006/relationships/hyperlink" Target="https://duckduckgo.com/?q=%21ducky%20striver%20takeUforward%20Sort%20array%20of%200s%201s%202s%20solution" TargetMode="External"/><Relationship Id="rId111" Type="http://schemas.openxmlformats.org/officeDocument/2006/relationships/hyperlink" Target="https://duckduckgo.com/?q=%21ducky%20leetcode%20Majority%20Element%20%28%3En/2%29" TargetMode="External"/><Relationship Id="rId112" Type="http://schemas.openxmlformats.org/officeDocument/2006/relationships/hyperlink" Target="https://duckduckgo.com/?q=%21ducky%20striver%20takeUforward%20Majority%20Element%20%28%3En/2%29%20solution" TargetMode="External"/><Relationship Id="rId113" Type="http://schemas.openxmlformats.org/officeDocument/2006/relationships/hyperlink" Target="https://duckduckgo.com/?q=%21ducky%20leetcode%20Kadane%27s%20Algorithm%20%28max%20subarray%20sum%29" TargetMode="External"/><Relationship Id="rId114" Type="http://schemas.openxmlformats.org/officeDocument/2006/relationships/hyperlink" Target="https://duckduckgo.com/?q=%21ducky%20striver%20takeUforward%20Kadane%27s%20Algorithm%20%28max%20subarray%20sum%29%20solution" TargetMode="External"/><Relationship Id="rId115" Type="http://schemas.openxmlformats.org/officeDocument/2006/relationships/hyperlink" Target="https://duckduckgo.com/?q=%21ducky%20leetcode%20Print%20max-sum%20subarray" TargetMode="External"/><Relationship Id="rId116" Type="http://schemas.openxmlformats.org/officeDocument/2006/relationships/hyperlink" Target="https://duckduckgo.com/?q=%21ducky%20striver%20takeUforward%20Print%20max-sum%20subarray%20solution" TargetMode="External"/><Relationship Id="rId117" Type="http://schemas.openxmlformats.org/officeDocument/2006/relationships/hyperlink" Target="https://duckduckgo.com/?q=%21ducky%20leetcode%20Stock%20Buy%20and%20Sell" TargetMode="External"/><Relationship Id="rId118" Type="http://schemas.openxmlformats.org/officeDocument/2006/relationships/hyperlink" Target="https://duckduckgo.com/?q=%21ducky%20striver%20takeUforward%20Stock%20Buy%20and%20Sell%20solution" TargetMode="External"/><Relationship Id="rId119" Type="http://schemas.openxmlformats.org/officeDocument/2006/relationships/hyperlink" Target="https://duckduckgo.com/?q=%21ducky%20leetcode%20Rearrange%20array%20by%20sign" TargetMode="External"/><Relationship Id="rId120" Type="http://schemas.openxmlformats.org/officeDocument/2006/relationships/hyperlink" Target="https://duckduckgo.com/?q=%21ducky%20striver%20takeUforward%20Rearrange%20array%20by%20sign%20solution" TargetMode="External"/><Relationship Id="rId121" Type="http://schemas.openxmlformats.org/officeDocument/2006/relationships/hyperlink" Target="https://duckduckgo.com/?q=%21ducky%20leetcode%20Next%20Permutation" TargetMode="External"/><Relationship Id="rId122" Type="http://schemas.openxmlformats.org/officeDocument/2006/relationships/hyperlink" Target="https://duckduckgo.com/?q=%21ducky%20striver%20takeUforward%20Next%20Permutation%20solution" TargetMode="External"/><Relationship Id="rId123" Type="http://schemas.openxmlformats.org/officeDocument/2006/relationships/hyperlink" Target="https://duckduckgo.com/?q=%21ducky%20leetcode%20Leaders%20in%20an%20array" TargetMode="External"/><Relationship Id="rId124" Type="http://schemas.openxmlformats.org/officeDocument/2006/relationships/hyperlink" Target="https://duckduckgo.com/?q=%21ducky%20striver%20takeUforward%20Leaders%20in%20an%20array%20solution" TargetMode="External"/><Relationship Id="rId125" Type="http://schemas.openxmlformats.org/officeDocument/2006/relationships/hyperlink" Target="https://duckduckgo.com/?q=%21ducky%20leetcode%20Longest%20Consecutive%20Sequence" TargetMode="External"/><Relationship Id="rId126" Type="http://schemas.openxmlformats.org/officeDocument/2006/relationships/hyperlink" Target="https://duckduckgo.com/?q=%21ducky%20striver%20takeUforward%20Longest%20Consecutive%20Sequence%20solution" TargetMode="External"/><Relationship Id="rId127" Type="http://schemas.openxmlformats.org/officeDocument/2006/relationships/hyperlink" Target="https://duckduckgo.com/?q=%21ducky%20leetcode%20Set%20Matrix%20Zeros" TargetMode="External"/><Relationship Id="rId128" Type="http://schemas.openxmlformats.org/officeDocument/2006/relationships/hyperlink" Target="https://duckduckgo.com/?q=%21ducky%20striver%20takeUforward%20Set%20Matrix%20Zeros%20solution" TargetMode="External"/><Relationship Id="rId129" Type="http://schemas.openxmlformats.org/officeDocument/2006/relationships/hyperlink" Target="https://duckduckgo.com/?q=%21ducky%20leetcode%20Rotate%20Matrix%20by%2090%20degrees" TargetMode="External"/><Relationship Id="rId130" Type="http://schemas.openxmlformats.org/officeDocument/2006/relationships/hyperlink" Target="https://duckduckgo.com/?q=%21ducky%20striver%20takeUforward%20Rotate%20Matrix%20by%2090%20degrees%20solution" TargetMode="External"/><Relationship Id="rId131" Type="http://schemas.openxmlformats.org/officeDocument/2006/relationships/hyperlink" Target="https://duckduckgo.com/?q=%21ducky%20leetcode%20Print%20matrix%20in%20spiral" TargetMode="External"/><Relationship Id="rId132" Type="http://schemas.openxmlformats.org/officeDocument/2006/relationships/hyperlink" Target="https://duckduckgo.com/?q=%21ducky%20striver%20takeUforward%20Print%20matrix%20in%20spiral%20solution" TargetMode="External"/><Relationship Id="rId133" Type="http://schemas.openxmlformats.org/officeDocument/2006/relationships/hyperlink" Target="https://duckduckgo.com/?q=%21ducky%20leetcode%20Count%20subarrays%20with%20sum%20K" TargetMode="External"/><Relationship Id="rId134" Type="http://schemas.openxmlformats.org/officeDocument/2006/relationships/hyperlink" Target="https://duckduckgo.com/?q=%21ducky%20striver%20takeUforward%20Count%20subarrays%20with%20sum%20K%20solution" TargetMode="External"/><Relationship Id="rId135" Type="http://schemas.openxmlformats.org/officeDocument/2006/relationships/hyperlink" Target="https://duckduckgo.com/?q=%21ducky%20leetcode%20Pascal%27s%20Triangle" TargetMode="External"/><Relationship Id="rId136" Type="http://schemas.openxmlformats.org/officeDocument/2006/relationships/hyperlink" Target="https://duckduckgo.com/?q=%21ducky%20striver%20takeUforward%20Pascal%27s%20Triangle%20solution" TargetMode="External"/><Relationship Id="rId137" Type="http://schemas.openxmlformats.org/officeDocument/2006/relationships/hyperlink" Target="https://duckduckgo.com/?q=%21ducky%20leetcode%20Majority%20Element%20%28%3En/3%29" TargetMode="External"/><Relationship Id="rId138" Type="http://schemas.openxmlformats.org/officeDocument/2006/relationships/hyperlink" Target="https://duckduckgo.com/?q=%21ducky%20striver%20takeUforward%20Majority%20Element%20%28%3En/3%29%20solution" TargetMode="External"/><Relationship Id="rId139" Type="http://schemas.openxmlformats.org/officeDocument/2006/relationships/hyperlink" Target="https://duckduckgo.com/?q=%21ducky%20leetcode%203-Sum" TargetMode="External"/><Relationship Id="rId140" Type="http://schemas.openxmlformats.org/officeDocument/2006/relationships/hyperlink" Target="https://duckduckgo.com/?q=%21ducky%20striver%20takeUforward%203-Sum%20solution" TargetMode="External"/><Relationship Id="rId141" Type="http://schemas.openxmlformats.org/officeDocument/2006/relationships/hyperlink" Target="https://duckduckgo.com/?q=%21ducky%20leetcode%204-Sum" TargetMode="External"/><Relationship Id="rId142" Type="http://schemas.openxmlformats.org/officeDocument/2006/relationships/hyperlink" Target="https://duckduckgo.com/?q=%21ducky%20striver%20takeUforward%204-Sum%20solution" TargetMode="External"/><Relationship Id="rId143" Type="http://schemas.openxmlformats.org/officeDocument/2006/relationships/hyperlink" Target="https://duckduckgo.com/?q=%21ducky%20leetcode%20Largest%20subarray%20with%200%20sum" TargetMode="External"/><Relationship Id="rId144" Type="http://schemas.openxmlformats.org/officeDocument/2006/relationships/hyperlink" Target="https://duckduckgo.com/?q=%21ducky%20striver%20takeUforward%20Largest%20subarray%20with%200%20sum%20solution" TargetMode="External"/><Relationship Id="rId145" Type="http://schemas.openxmlformats.org/officeDocument/2006/relationships/hyperlink" Target="https://duckduckgo.com/?q=%21ducky%20leetcode%20Count%20subarrays%20with%20XOR%20K" TargetMode="External"/><Relationship Id="rId146" Type="http://schemas.openxmlformats.org/officeDocument/2006/relationships/hyperlink" Target="https://duckduckgo.com/?q=%21ducky%20striver%20takeUforward%20Count%20subarrays%20with%20XOR%20K%20solution" TargetMode="External"/><Relationship Id="rId147" Type="http://schemas.openxmlformats.org/officeDocument/2006/relationships/hyperlink" Target="https://duckduckgo.com/?q=%21ducky%20leetcode%20Merge%20overlapping%20intervals" TargetMode="External"/><Relationship Id="rId148" Type="http://schemas.openxmlformats.org/officeDocument/2006/relationships/hyperlink" Target="https://duckduckgo.com/?q=%21ducky%20striver%20takeUforward%20Merge%20overlapping%20intervals%20solution" TargetMode="External"/><Relationship Id="rId149" Type="http://schemas.openxmlformats.org/officeDocument/2006/relationships/hyperlink" Target="https://duckduckgo.com/?q=%21ducky%20leetcode%20Merge%20two%20sorted%20arrays%20%28no%20extra%20space%29" TargetMode="External"/><Relationship Id="rId150" Type="http://schemas.openxmlformats.org/officeDocument/2006/relationships/hyperlink" Target="https://duckduckgo.com/?q=%21ducky%20striver%20takeUforward%20Merge%20two%20sorted%20arrays%20%28no%20extra%20space%29%20solution" TargetMode="External"/><Relationship Id="rId151" Type="http://schemas.openxmlformats.org/officeDocument/2006/relationships/hyperlink" Target="https://duckduckgo.com/?q=%21ducky%20leetcode%20Find%20repeating%20and%20missing%20number" TargetMode="External"/><Relationship Id="rId152" Type="http://schemas.openxmlformats.org/officeDocument/2006/relationships/hyperlink" Target="https://duckduckgo.com/?q=%21ducky%20striver%20takeUforward%20Find%20repeating%20and%20missing%20number%20solution" TargetMode="External"/><Relationship Id="rId153" Type="http://schemas.openxmlformats.org/officeDocument/2006/relationships/hyperlink" Target="https://duckduckgo.com/?q=%21ducky%20leetcode%20Count%20Inversions" TargetMode="External"/><Relationship Id="rId154" Type="http://schemas.openxmlformats.org/officeDocument/2006/relationships/hyperlink" Target="https://duckduckgo.com/?q=%21ducky%20striver%20takeUforward%20Count%20Inversions%20solution" TargetMode="External"/><Relationship Id="rId155" Type="http://schemas.openxmlformats.org/officeDocument/2006/relationships/hyperlink" Target="https://duckduckgo.com/?q=%21ducky%20leetcode%20Reverse%20Pairs" TargetMode="External"/><Relationship Id="rId156" Type="http://schemas.openxmlformats.org/officeDocument/2006/relationships/hyperlink" Target="https://duckduckgo.com/?q=%21ducky%20striver%20takeUforward%20Reverse%20Pairs%20solution" TargetMode="External"/><Relationship Id="rId157" Type="http://schemas.openxmlformats.org/officeDocument/2006/relationships/hyperlink" Target="https://duckduckgo.com/?q=%21ducky%20leetcode%20Maximum%20Product%20Subarray" TargetMode="External"/><Relationship Id="rId158" Type="http://schemas.openxmlformats.org/officeDocument/2006/relationships/hyperlink" Target="https://duckduckgo.com/?q=%21ducky%20striver%20takeUforward%20Maximum%20Product%20Subarray%20solution" TargetMode="External"/><Relationship Id="rId159" Type="http://schemas.openxmlformats.org/officeDocument/2006/relationships/hyperlink" Target="https://duckduckgo.com/?q=%21ducky%20leetcode%20Binary%20Search%20to%20find%20X" TargetMode="External"/><Relationship Id="rId160" Type="http://schemas.openxmlformats.org/officeDocument/2006/relationships/hyperlink" Target="https://duckduckgo.com/?q=%21ducky%20striver%20takeUforward%20Binary%20Search%20to%20find%20X%20solution" TargetMode="External"/><Relationship Id="rId161" Type="http://schemas.openxmlformats.org/officeDocument/2006/relationships/hyperlink" Target="https://duckduckgo.com/?q=%21ducky%20leetcode%20Implement%20Lower%20Bound" TargetMode="External"/><Relationship Id="rId162" Type="http://schemas.openxmlformats.org/officeDocument/2006/relationships/hyperlink" Target="https://duckduckgo.com/?q=%21ducky%20striver%20takeUforward%20Implement%20Lower%20Bound%20solution" TargetMode="External"/><Relationship Id="rId163" Type="http://schemas.openxmlformats.org/officeDocument/2006/relationships/hyperlink" Target="https://duckduckgo.com/?q=%21ducky%20leetcode%20Implement%20Upper%20Bound" TargetMode="External"/><Relationship Id="rId164" Type="http://schemas.openxmlformats.org/officeDocument/2006/relationships/hyperlink" Target="https://duckduckgo.com/?q=%21ducky%20striver%20takeUforward%20Implement%20Upper%20Bound%20solution" TargetMode="External"/><Relationship Id="rId165" Type="http://schemas.openxmlformats.org/officeDocument/2006/relationships/hyperlink" Target="https://duckduckgo.com/?q=%21ducky%20leetcode%20Search%20Insert%20Position" TargetMode="External"/><Relationship Id="rId166" Type="http://schemas.openxmlformats.org/officeDocument/2006/relationships/hyperlink" Target="https://duckduckgo.com/?q=%21ducky%20striver%20takeUforward%20Search%20Insert%20Position%20solution" TargetMode="External"/><Relationship Id="rId167" Type="http://schemas.openxmlformats.org/officeDocument/2006/relationships/hyperlink" Target="https://duckduckgo.com/?q=%21ducky%20leetcode%20Floor%20and%20Ceil%20in%20sorted%20array" TargetMode="External"/><Relationship Id="rId168" Type="http://schemas.openxmlformats.org/officeDocument/2006/relationships/hyperlink" Target="https://duckduckgo.com/?q=%21ducky%20striver%20takeUforward%20Floor%20and%20Ceil%20in%20sorted%20array%20solution" TargetMode="External"/><Relationship Id="rId169" Type="http://schemas.openxmlformats.org/officeDocument/2006/relationships/hyperlink" Target="https://duckduckgo.com/?q=%21ducky%20leetcode%20First%20and%20last%20occurrence" TargetMode="External"/><Relationship Id="rId170" Type="http://schemas.openxmlformats.org/officeDocument/2006/relationships/hyperlink" Target="https://duckduckgo.com/?q=%21ducky%20striver%20takeUforward%20First%20and%20last%20occurrence%20solution" TargetMode="External"/><Relationship Id="rId171" Type="http://schemas.openxmlformats.org/officeDocument/2006/relationships/hyperlink" Target="https://duckduckgo.com/?q=%21ducky%20leetcode%20Count%20occurrences%20in%20sorted%20array" TargetMode="External"/><Relationship Id="rId172" Type="http://schemas.openxmlformats.org/officeDocument/2006/relationships/hyperlink" Target="https://duckduckgo.com/?q=%21ducky%20striver%20takeUforward%20Count%20occurrences%20in%20sorted%20array%20solution" TargetMode="External"/><Relationship Id="rId173" Type="http://schemas.openxmlformats.org/officeDocument/2006/relationships/hyperlink" Target="https://duckduckgo.com/?q=%21ducky%20leetcode%20Search%20in%20Rotated%20Sorted%20Array%20I" TargetMode="External"/><Relationship Id="rId174" Type="http://schemas.openxmlformats.org/officeDocument/2006/relationships/hyperlink" Target="https://duckduckgo.com/?q=%21ducky%20striver%20takeUforward%20Search%20in%20Rotated%20Sorted%20Array%20I%20solution" TargetMode="External"/><Relationship Id="rId175" Type="http://schemas.openxmlformats.org/officeDocument/2006/relationships/hyperlink" Target="https://duckduckgo.com/?q=%21ducky%20leetcode%20Search%20in%20Rotated%20Sorted%20Array%20II" TargetMode="External"/><Relationship Id="rId176" Type="http://schemas.openxmlformats.org/officeDocument/2006/relationships/hyperlink" Target="https://duckduckgo.com/?q=%21ducky%20striver%20takeUforward%20Search%20in%20Rotated%20Sorted%20Array%20II%20solution" TargetMode="External"/><Relationship Id="rId177" Type="http://schemas.openxmlformats.org/officeDocument/2006/relationships/hyperlink" Target="https://duckduckgo.com/?q=%21ducky%20leetcode%20Minimum%20in%20Rotated%20Sorted%20Array" TargetMode="External"/><Relationship Id="rId178" Type="http://schemas.openxmlformats.org/officeDocument/2006/relationships/hyperlink" Target="https://duckduckgo.com/?q=%21ducky%20striver%20takeUforward%20Minimum%20in%20Rotated%20Sorted%20Array%20solution" TargetMode="External"/><Relationship Id="rId179" Type="http://schemas.openxmlformats.org/officeDocument/2006/relationships/hyperlink" Target="https://duckduckgo.com/?q=%21ducky%20leetcode%20How%20many%20times%20array%20is%20rotated" TargetMode="External"/><Relationship Id="rId180" Type="http://schemas.openxmlformats.org/officeDocument/2006/relationships/hyperlink" Target="https://duckduckgo.com/?q=%21ducky%20striver%20takeUforward%20How%20many%20times%20array%20is%20rotated%20solution" TargetMode="External"/><Relationship Id="rId181" Type="http://schemas.openxmlformats.org/officeDocument/2006/relationships/hyperlink" Target="https://duckduckgo.com/?q=%21ducky%20leetcode%20Single%20element%20in%20sorted%20array" TargetMode="External"/><Relationship Id="rId182" Type="http://schemas.openxmlformats.org/officeDocument/2006/relationships/hyperlink" Target="https://duckduckgo.com/?q=%21ducky%20striver%20takeUforward%20Single%20element%20in%20sorted%20array%20solution" TargetMode="External"/><Relationship Id="rId183" Type="http://schemas.openxmlformats.org/officeDocument/2006/relationships/hyperlink" Target="https://duckduckgo.com/?q=%21ducky%20leetcode%20Find%20peak%20element" TargetMode="External"/><Relationship Id="rId184" Type="http://schemas.openxmlformats.org/officeDocument/2006/relationships/hyperlink" Target="https://duckduckgo.com/?q=%21ducky%20striver%20takeUforward%20Find%20peak%20element%20solution" TargetMode="External"/><Relationship Id="rId185" Type="http://schemas.openxmlformats.org/officeDocument/2006/relationships/hyperlink" Target="https://duckduckgo.com/?q=%21ducky%20leetcode%20Find%20square%20root%20of%20a%20number" TargetMode="External"/><Relationship Id="rId186" Type="http://schemas.openxmlformats.org/officeDocument/2006/relationships/hyperlink" Target="https://duckduckgo.com/?q=%21ducky%20striver%20takeUforward%20Find%20square%20root%20of%20a%20number%20solution" TargetMode="External"/><Relationship Id="rId187" Type="http://schemas.openxmlformats.org/officeDocument/2006/relationships/hyperlink" Target="https://duckduckgo.com/?q=%21ducky%20leetcode%20Find%20Nth%20root%20of%20a%20number" TargetMode="External"/><Relationship Id="rId188" Type="http://schemas.openxmlformats.org/officeDocument/2006/relationships/hyperlink" Target="https://duckduckgo.com/?q=%21ducky%20striver%20takeUforward%20Find%20Nth%20root%20of%20a%20number%20solution" TargetMode="External"/><Relationship Id="rId189" Type="http://schemas.openxmlformats.org/officeDocument/2006/relationships/hyperlink" Target="https://duckduckgo.com/?q=%21ducky%20leetcode%20Koko%20Eating%20Bananas" TargetMode="External"/><Relationship Id="rId190" Type="http://schemas.openxmlformats.org/officeDocument/2006/relationships/hyperlink" Target="https://duckduckgo.com/?q=%21ducky%20striver%20takeUforward%20Koko%20Eating%20Bananas%20solution" TargetMode="External"/><Relationship Id="rId191" Type="http://schemas.openxmlformats.org/officeDocument/2006/relationships/hyperlink" Target="https://duckduckgo.com/?q=%21ducky%20leetcode%20Minimum%20days%20to%20make%20M%20bouquets" TargetMode="External"/><Relationship Id="rId192" Type="http://schemas.openxmlformats.org/officeDocument/2006/relationships/hyperlink" Target="https://duckduckgo.com/?q=%21ducky%20striver%20takeUforward%20Minimum%20days%20to%20make%20M%20bouquets%20solution" TargetMode="External"/><Relationship Id="rId193" Type="http://schemas.openxmlformats.org/officeDocument/2006/relationships/hyperlink" Target="https://duckduckgo.com/?q=%21ducky%20leetcode%20Find%20the%20Smallest%20Divisor" TargetMode="External"/><Relationship Id="rId194" Type="http://schemas.openxmlformats.org/officeDocument/2006/relationships/hyperlink" Target="https://duckduckgo.com/?q=%21ducky%20striver%20takeUforward%20Find%20the%20Smallest%20Divisor%20solution" TargetMode="External"/><Relationship Id="rId195" Type="http://schemas.openxmlformats.org/officeDocument/2006/relationships/hyperlink" Target="https://duckduckgo.com/?q=%21ducky%20leetcode%20Capacity%20to%20Ship%20Packages%20within%20D%20Days" TargetMode="External"/><Relationship Id="rId196" Type="http://schemas.openxmlformats.org/officeDocument/2006/relationships/hyperlink" Target="https://duckduckgo.com/?q=%21ducky%20striver%20takeUforward%20Capacity%20to%20Ship%20Packages%20within%20D%20Days%20solution" TargetMode="External"/><Relationship Id="rId197" Type="http://schemas.openxmlformats.org/officeDocument/2006/relationships/hyperlink" Target="https://duckduckgo.com/?q=%21ducky%20leetcode%20Kth%20Missing%20Positive%20Number" TargetMode="External"/><Relationship Id="rId198" Type="http://schemas.openxmlformats.org/officeDocument/2006/relationships/hyperlink" Target="https://duckduckgo.com/?q=%21ducky%20striver%20takeUforward%20Kth%20Missing%20Positive%20Number%20solution" TargetMode="External"/><Relationship Id="rId199" Type="http://schemas.openxmlformats.org/officeDocument/2006/relationships/hyperlink" Target="https://duckduckgo.com/?q=%21ducky%20leetcode%20Aggressive%20Cows" TargetMode="External"/><Relationship Id="rId200" Type="http://schemas.openxmlformats.org/officeDocument/2006/relationships/hyperlink" Target="https://duckduckgo.com/?q=%21ducky%20striver%20takeUforward%20Aggressive%20Cows%20solution" TargetMode="External"/><Relationship Id="rId201" Type="http://schemas.openxmlformats.org/officeDocument/2006/relationships/hyperlink" Target="https://duckduckgo.com/?q=%21ducky%20leetcode%20Book%20Allocation%20Problem" TargetMode="External"/><Relationship Id="rId202" Type="http://schemas.openxmlformats.org/officeDocument/2006/relationships/hyperlink" Target="https://duckduckgo.com/?q=%21ducky%20striver%20takeUforward%20Book%20Allocation%20Problem%20solution" TargetMode="External"/><Relationship Id="rId203" Type="http://schemas.openxmlformats.org/officeDocument/2006/relationships/hyperlink" Target="https://duckduckgo.com/?q=%21ducky%20leetcode%20Split%20Array%20-%20Largest%20Sum" TargetMode="External"/><Relationship Id="rId204" Type="http://schemas.openxmlformats.org/officeDocument/2006/relationships/hyperlink" Target="https://duckduckgo.com/?q=%21ducky%20striver%20takeUforward%20Split%20Array%20-%20Largest%20Sum%20solution" TargetMode="External"/><Relationship Id="rId205" Type="http://schemas.openxmlformats.org/officeDocument/2006/relationships/hyperlink" Target="https://duckduckgo.com/?q=%21ducky%20leetcode%20Painter%27s%20Partition" TargetMode="External"/><Relationship Id="rId206" Type="http://schemas.openxmlformats.org/officeDocument/2006/relationships/hyperlink" Target="https://duckduckgo.com/?q=%21ducky%20striver%20takeUforward%20Painter%27s%20Partition%20solution" TargetMode="External"/><Relationship Id="rId207" Type="http://schemas.openxmlformats.org/officeDocument/2006/relationships/hyperlink" Target="https://duckduckgo.com/?q=%21ducky%20leetcode%20Minimize%20Max%20Distance%20to%20Gas%20Station" TargetMode="External"/><Relationship Id="rId208" Type="http://schemas.openxmlformats.org/officeDocument/2006/relationships/hyperlink" Target="https://duckduckgo.com/?q=%21ducky%20striver%20takeUforward%20Minimize%20Max%20Distance%20to%20Gas%20Station%20solution" TargetMode="External"/><Relationship Id="rId209" Type="http://schemas.openxmlformats.org/officeDocument/2006/relationships/hyperlink" Target="https://duckduckgo.com/?q=%21ducky%20leetcode%20Median%20of%20two%20sorted%20arrays" TargetMode="External"/><Relationship Id="rId210" Type="http://schemas.openxmlformats.org/officeDocument/2006/relationships/hyperlink" Target="https://duckduckgo.com/?q=%21ducky%20striver%20takeUforward%20Median%20of%20two%20sorted%20arrays%20solution" TargetMode="External"/><Relationship Id="rId211" Type="http://schemas.openxmlformats.org/officeDocument/2006/relationships/hyperlink" Target="https://duckduckgo.com/?q=%21ducky%20leetcode%20Kth%20element%20of%20two%20sorted%20arrays" TargetMode="External"/><Relationship Id="rId212" Type="http://schemas.openxmlformats.org/officeDocument/2006/relationships/hyperlink" Target="https://duckduckgo.com/?q=%21ducky%20striver%20takeUforward%20Kth%20element%20of%20two%20sorted%20arrays%20solution" TargetMode="External"/><Relationship Id="rId213" Type="http://schemas.openxmlformats.org/officeDocument/2006/relationships/hyperlink" Target="https://duckduckgo.com/?q=%21ducky%20leetcode%20Row%20with%20maximum%201%27s" TargetMode="External"/><Relationship Id="rId214" Type="http://schemas.openxmlformats.org/officeDocument/2006/relationships/hyperlink" Target="https://duckduckgo.com/?q=%21ducky%20striver%20takeUforward%20Row%20with%20maximum%201%27s%20solution" TargetMode="External"/><Relationship Id="rId215" Type="http://schemas.openxmlformats.org/officeDocument/2006/relationships/hyperlink" Target="https://duckduckgo.com/?q=%21ducky%20leetcode%20Search%20in%20a%202D%20matrix" TargetMode="External"/><Relationship Id="rId216" Type="http://schemas.openxmlformats.org/officeDocument/2006/relationships/hyperlink" Target="https://duckduckgo.com/?q=%21ducky%20striver%20takeUforward%20Search%20in%20a%202D%20matrix%20solution" TargetMode="External"/><Relationship Id="rId217" Type="http://schemas.openxmlformats.org/officeDocument/2006/relationships/hyperlink" Target="https://duckduckgo.com/?q=%21ducky%20leetcode%20Search%20in%20a%202D%20matrix%20II" TargetMode="External"/><Relationship Id="rId218" Type="http://schemas.openxmlformats.org/officeDocument/2006/relationships/hyperlink" Target="https://duckduckgo.com/?q=%21ducky%20striver%20takeUforward%20Search%20in%20a%202D%20matrix%20II%20solution" TargetMode="External"/><Relationship Id="rId219" Type="http://schemas.openxmlformats.org/officeDocument/2006/relationships/hyperlink" Target="https://duckduckgo.com/?q=%21ducky%20leetcode%20Find%20Peak%20Element%20%282D%29" TargetMode="External"/><Relationship Id="rId220" Type="http://schemas.openxmlformats.org/officeDocument/2006/relationships/hyperlink" Target="https://duckduckgo.com/?q=%21ducky%20striver%20takeUforward%20Find%20Peak%20Element%20%282D%29%20solution" TargetMode="External"/><Relationship Id="rId221" Type="http://schemas.openxmlformats.org/officeDocument/2006/relationships/hyperlink" Target="https://duckduckgo.com/?q=%21ducky%20leetcode%20Matrix%20Median" TargetMode="External"/><Relationship Id="rId222" Type="http://schemas.openxmlformats.org/officeDocument/2006/relationships/hyperlink" Target="https://duckduckgo.com/?q=%21ducky%20striver%20takeUforward%20Matrix%20Median%20solution" TargetMode="External"/><Relationship Id="rId223" Type="http://schemas.openxmlformats.org/officeDocument/2006/relationships/hyperlink" Target="https://duckduckgo.com/?q=%21ducky%20leetcode%20Remove%20outermost%20parentheses" TargetMode="External"/><Relationship Id="rId224" Type="http://schemas.openxmlformats.org/officeDocument/2006/relationships/hyperlink" Target="https://duckduckgo.com/?q=%21ducky%20striver%20takeUforward%20Remove%20outermost%20parentheses%20solution" TargetMode="External"/><Relationship Id="rId225" Type="http://schemas.openxmlformats.org/officeDocument/2006/relationships/hyperlink" Target="https://duckduckgo.com/?q=%21ducky%20leetcode%20Reverse%20words%20in%20a%20string" TargetMode="External"/><Relationship Id="rId226" Type="http://schemas.openxmlformats.org/officeDocument/2006/relationships/hyperlink" Target="https://duckduckgo.com/?q=%21ducky%20striver%20takeUforward%20Reverse%20words%20in%20a%20string%20solution" TargetMode="External"/><Relationship Id="rId227" Type="http://schemas.openxmlformats.org/officeDocument/2006/relationships/hyperlink" Target="https://duckduckgo.com/?q=%21ducky%20leetcode%20Largest%20odd%20number%20in%20a%20string" TargetMode="External"/><Relationship Id="rId228" Type="http://schemas.openxmlformats.org/officeDocument/2006/relationships/hyperlink" Target="https://duckduckgo.com/?q=%21ducky%20striver%20takeUforward%20Largest%20odd%20number%20in%20a%20string%20solution" TargetMode="External"/><Relationship Id="rId229" Type="http://schemas.openxmlformats.org/officeDocument/2006/relationships/hyperlink" Target="https://duckduckgo.com/?q=%21ducky%20leetcode%20Longest%20common%20prefix" TargetMode="External"/><Relationship Id="rId230" Type="http://schemas.openxmlformats.org/officeDocument/2006/relationships/hyperlink" Target="https://duckduckgo.com/?q=%21ducky%20striver%20takeUforward%20Longest%20common%20prefix%20solution" TargetMode="External"/><Relationship Id="rId231" Type="http://schemas.openxmlformats.org/officeDocument/2006/relationships/hyperlink" Target="https://duckduckgo.com/?q=%21ducky%20leetcode%20Isomorphic%20strings" TargetMode="External"/><Relationship Id="rId232" Type="http://schemas.openxmlformats.org/officeDocument/2006/relationships/hyperlink" Target="https://duckduckgo.com/?q=%21ducky%20striver%20takeUforward%20Isomorphic%20strings%20solution" TargetMode="External"/><Relationship Id="rId233" Type="http://schemas.openxmlformats.org/officeDocument/2006/relationships/hyperlink" Target="https://duckduckgo.com/?q=%21ducky%20leetcode%20Rotate%20string%20to%20make%20equal" TargetMode="External"/><Relationship Id="rId234" Type="http://schemas.openxmlformats.org/officeDocument/2006/relationships/hyperlink" Target="https://duckduckgo.com/?q=%21ducky%20striver%20takeUforward%20Rotate%20string%20to%20make%20equal%20solution" TargetMode="External"/><Relationship Id="rId235" Type="http://schemas.openxmlformats.org/officeDocument/2006/relationships/hyperlink" Target="https://duckduckgo.com/?q=%21ducky%20leetcode%20Check%20if%20two%20strings%20are%20anagrams" TargetMode="External"/><Relationship Id="rId236" Type="http://schemas.openxmlformats.org/officeDocument/2006/relationships/hyperlink" Target="https://duckduckgo.com/?q=%21ducky%20striver%20takeUforward%20Check%20if%20two%20strings%20are%20anagrams%20solution" TargetMode="External"/><Relationship Id="rId237" Type="http://schemas.openxmlformats.org/officeDocument/2006/relationships/hyperlink" Target="https://duckduckgo.com/?q=%21ducky%20leetcode%20Sort%20characters%20by%20frequency" TargetMode="External"/><Relationship Id="rId238" Type="http://schemas.openxmlformats.org/officeDocument/2006/relationships/hyperlink" Target="https://duckduckgo.com/?q=%21ducky%20striver%20takeUforward%20Sort%20characters%20by%20frequency%20solution" TargetMode="External"/><Relationship Id="rId239" Type="http://schemas.openxmlformats.org/officeDocument/2006/relationships/hyperlink" Target="https://duckduckgo.com/?q=%21ducky%20leetcode%20Maximum%20nesting%20depth%20of%20parentheses" TargetMode="External"/><Relationship Id="rId240" Type="http://schemas.openxmlformats.org/officeDocument/2006/relationships/hyperlink" Target="https://duckduckgo.com/?q=%21ducky%20striver%20takeUforward%20Maximum%20nesting%20depth%20of%20parentheses%20solution" TargetMode="External"/><Relationship Id="rId241" Type="http://schemas.openxmlformats.org/officeDocument/2006/relationships/hyperlink" Target="https://duckduckgo.com/?q=%21ducky%20leetcode%20Roman%20to%20Integer" TargetMode="External"/><Relationship Id="rId242" Type="http://schemas.openxmlformats.org/officeDocument/2006/relationships/hyperlink" Target="https://duckduckgo.com/?q=%21ducky%20striver%20takeUforward%20Roman%20to%20Integer%20solution" TargetMode="External"/><Relationship Id="rId243" Type="http://schemas.openxmlformats.org/officeDocument/2006/relationships/hyperlink" Target="https://duckduckgo.com/?q=%21ducky%20leetcode%20Implement%20Atoi" TargetMode="External"/><Relationship Id="rId244" Type="http://schemas.openxmlformats.org/officeDocument/2006/relationships/hyperlink" Target="https://duckduckgo.com/?q=%21ducky%20striver%20takeUforward%20Implement%20Atoi%20solution" TargetMode="External"/><Relationship Id="rId245" Type="http://schemas.openxmlformats.org/officeDocument/2006/relationships/hyperlink" Target="https://duckduckgo.com/?q=%21ducky%20leetcode%20Count%20number%20of%20substrings" TargetMode="External"/><Relationship Id="rId246" Type="http://schemas.openxmlformats.org/officeDocument/2006/relationships/hyperlink" Target="https://duckduckgo.com/?q=%21ducky%20striver%20takeUforward%20Count%20number%20of%20substrings%20solution" TargetMode="External"/><Relationship Id="rId247" Type="http://schemas.openxmlformats.org/officeDocument/2006/relationships/hyperlink" Target="https://duckduckgo.com/?q=%21ducky%20leetcode%20Longest%20Palindromic%20Substring" TargetMode="External"/><Relationship Id="rId248" Type="http://schemas.openxmlformats.org/officeDocument/2006/relationships/hyperlink" Target="https://duckduckgo.com/?q=%21ducky%20striver%20takeUforward%20Longest%20Palindromic%20Substring%20solution" TargetMode="External"/><Relationship Id="rId249" Type="http://schemas.openxmlformats.org/officeDocument/2006/relationships/hyperlink" Target="https://duckduckgo.com/?q=%21ducky%20leetcode%20Sum%20of%20beauty%20of%20all%20substrings" TargetMode="External"/><Relationship Id="rId250" Type="http://schemas.openxmlformats.org/officeDocument/2006/relationships/hyperlink" Target="https://duckduckgo.com/?q=%21ducky%20striver%20takeUforward%20Sum%20of%20beauty%20of%20all%20substrings%20solution" TargetMode="External"/><Relationship Id="rId251" Type="http://schemas.openxmlformats.org/officeDocument/2006/relationships/hyperlink" Target="https://duckduckgo.com/?q=%21ducky%20leetcode%20Reverse%20every%20word%20%28II%29" TargetMode="External"/><Relationship Id="rId252" Type="http://schemas.openxmlformats.org/officeDocument/2006/relationships/hyperlink" Target="https://duckduckgo.com/?q=%21ducky%20striver%20takeUforward%20Reverse%20every%20word%20%28II%29%20solution" TargetMode="External"/><Relationship Id="rId253" Type="http://schemas.openxmlformats.org/officeDocument/2006/relationships/hyperlink" Target="https://duckduckgo.com/?q=%21ducky%20leetcode%20Introduction%20to%20LinkedList" TargetMode="External"/><Relationship Id="rId254" Type="http://schemas.openxmlformats.org/officeDocument/2006/relationships/hyperlink" Target="https://duckduckgo.com/?q=%21ducky%20striver%20takeUforward%20Introduction%20to%20LinkedList%20solution" TargetMode="External"/><Relationship Id="rId255" Type="http://schemas.openxmlformats.org/officeDocument/2006/relationships/hyperlink" Target="https://duckduckgo.com/?q=%21ducky%20leetcode%20Insert%20a%20node" TargetMode="External"/><Relationship Id="rId256" Type="http://schemas.openxmlformats.org/officeDocument/2006/relationships/hyperlink" Target="https://duckduckgo.com/?q=%21ducky%20striver%20takeUforward%20Insert%20a%20node%20solution" TargetMode="External"/><Relationship Id="rId257" Type="http://schemas.openxmlformats.org/officeDocument/2006/relationships/hyperlink" Target="https://duckduckgo.com/?q=%21ducky%20leetcode%20Delete%20a%20node" TargetMode="External"/><Relationship Id="rId258" Type="http://schemas.openxmlformats.org/officeDocument/2006/relationships/hyperlink" Target="https://duckduckgo.com/?q=%21ducky%20striver%20takeUforward%20Delete%20a%20node%20solution" TargetMode="External"/><Relationship Id="rId259" Type="http://schemas.openxmlformats.org/officeDocument/2006/relationships/hyperlink" Target="https://duckduckgo.com/?q=%21ducky%20leetcode%20Find%20length%20of%20LinkedList" TargetMode="External"/><Relationship Id="rId260" Type="http://schemas.openxmlformats.org/officeDocument/2006/relationships/hyperlink" Target="https://duckduckgo.com/?q=%21ducky%20striver%20takeUforward%20Find%20length%20of%20LinkedList%20solution" TargetMode="External"/><Relationship Id="rId261" Type="http://schemas.openxmlformats.org/officeDocument/2006/relationships/hyperlink" Target="https://duckduckgo.com/?q=%21ducky%20leetcode%20Search%20an%20element" TargetMode="External"/><Relationship Id="rId262" Type="http://schemas.openxmlformats.org/officeDocument/2006/relationships/hyperlink" Target="https://duckduckgo.com/?q=%21ducky%20striver%20takeUforward%20Search%20an%20element%20solution" TargetMode="External"/><Relationship Id="rId263" Type="http://schemas.openxmlformats.org/officeDocument/2006/relationships/hyperlink" Target="https://duckduckgo.com/?q=%21ducky%20leetcode%20Introduction%20to%20DLL" TargetMode="External"/><Relationship Id="rId264" Type="http://schemas.openxmlformats.org/officeDocument/2006/relationships/hyperlink" Target="https://duckduckgo.com/?q=%21ducky%20striver%20takeUforward%20Introduction%20to%20DLL%20solution" TargetMode="External"/><Relationship Id="rId265" Type="http://schemas.openxmlformats.org/officeDocument/2006/relationships/hyperlink" Target="https://duckduckgo.com/?q=%21ducky%20leetcode%20Insert%20a%20node%20in%20DLL" TargetMode="External"/><Relationship Id="rId266" Type="http://schemas.openxmlformats.org/officeDocument/2006/relationships/hyperlink" Target="https://duckduckgo.com/?q=%21ducky%20striver%20takeUforward%20Insert%20a%20node%20in%20DLL%20solution" TargetMode="External"/><Relationship Id="rId267" Type="http://schemas.openxmlformats.org/officeDocument/2006/relationships/hyperlink" Target="https://duckduckgo.com/?q=%21ducky%20leetcode%20Delete%20a%20node%20in%20DLL" TargetMode="External"/><Relationship Id="rId268" Type="http://schemas.openxmlformats.org/officeDocument/2006/relationships/hyperlink" Target="https://duckduckgo.com/?q=%21ducky%20striver%20takeUforward%20Delete%20a%20node%20in%20DLL%20solution" TargetMode="External"/><Relationship Id="rId269" Type="http://schemas.openxmlformats.org/officeDocument/2006/relationships/hyperlink" Target="https://duckduckgo.com/?q=%21ducky%20leetcode%20Reverse%20a%20DLL" TargetMode="External"/><Relationship Id="rId270" Type="http://schemas.openxmlformats.org/officeDocument/2006/relationships/hyperlink" Target="https://duckduckgo.com/?q=%21ducky%20striver%20takeUforward%20Reverse%20a%20DLL%20solution" TargetMode="External"/><Relationship Id="rId271" Type="http://schemas.openxmlformats.org/officeDocument/2006/relationships/hyperlink" Target="https://duckduckgo.com/?q=%21ducky%20leetcode%20Middle%20of%20LinkedList" TargetMode="External"/><Relationship Id="rId272" Type="http://schemas.openxmlformats.org/officeDocument/2006/relationships/hyperlink" Target="https://duckduckgo.com/?q=%21ducky%20striver%20takeUforward%20Middle%20of%20LinkedList%20solution" TargetMode="External"/><Relationship Id="rId273" Type="http://schemas.openxmlformats.org/officeDocument/2006/relationships/hyperlink" Target="https://duckduckgo.com/?q=%21ducky%20leetcode%20Reverse%20LL%20%28iterative%29" TargetMode="External"/><Relationship Id="rId274" Type="http://schemas.openxmlformats.org/officeDocument/2006/relationships/hyperlink" Target="https://duckduckgo.com/?q=%21ducky%20striver%20takeUforward%20Reverse%20LL%20%28iterative%29%20solution" TargetMode="External"/><Relationship Id="rId275" Type="http://schemas.openxmlformats.org/officeDocument/2006/relationships/hyperlink" Target="https://duckduckgo.com/?q=%21ducky%20leetcode%20Reverse%20LL%20%28recursive%29" TargetMode="External"/><Relationship Id="rId276" Type="http://schemas.openxmlformats.org/officeDocument/2006/relationships/hyperlink" Target="https://duckduckgo.com/?q=%21ducky%20striver%20takeUforward%20Reverse%20LL%20%28recursive%29%20solution" TargetMode="External"/><Relationship Id="rId277" Type="http://schemas.openxmlformats.org/officeDocument/2006/relationships/hyperlink" Target="https://duckduckgo.com/?q=%21ducky%20leetcode%20Detect%20a%20loop%20in%20LL" TargetMode="External"/><Relationship Id="rId278" Type="http://schemas.openxmlformats.org/officeDocument/2006/relationships/hyperlink" Target="https://duckduckgo.com/?q=%21ducky%20striver%20takeUforward%20Detect%20a%20loop%20in%20LL%20solution" TargetMode="External"/><Relationship Id="rId279" Type="http://schemas.openxmlformats.org/officeDocument/2006/relationships/hyperlink" Target="https://duckduckgo.com/?q=%21ducky%20leetcode%20Find%20starting%20point%20of%20loop" TargetMode="External"/><Relationship Id="rId280" Type="http://schemas.openxmlformats.org/officeDocument/2006/relationships/hyperlink" Target="https://duckduckgo.com/?q=%21ducky%20striver%20takeUforward%20Find%20starting%20point%20of%20loop%20solution" TargetMode="External"/><Relationship Id="rId281" Type="http://schemas.openxmlformats.org/officeDocument/2006/relationships/hyperlink" Target="https://duckduckgo.com/?q=%21ducky%20leetcode%20Length%20of%20loop%20in%20LL" TargetMode="External"/><Relationship Id="rId282" Type="http://schemas.openxmlformats.org/officeDocument/2006/relationships/hyperlink" Target="https://duckduckgo.com/?q=%21ducky%20striver%20takeUforward%20Length%20of%20loop%20in%20LL%20solution" TargetMode="External"/><Relationship Id="rId283" Type="http://schemas.openxmlformats.org/officeDocument/2006/relationships/hyperlink" Target="https://duckduckgo.com/?q=%21ducky%20leetcode%20Check%20if%20LL%20is%20palindrome" TargetMode="External"/><Relationship Id="rId284" Type="http://schemas.openxmlformats.org/officeDocument/2006/relationships/hyperlink" Target="https://duckduckgo.com/?q=%21ducky%20striver%20takeUforward%20Check%20if%20LL%20is%20palindrome%20solution" TargetMode="External"/><Relationship Id="rId285" Type="http://schemas.openxmlformats.org/officeDocument/2006/relationships/hyperlink" Target="https://duckduckgo.com/?q=%21ducky%20leetcode%20Segregate%20odd%20and%20even%20nodes" TargetMode="External"/><Relationship Id="rId286" Type="http://schemas.openxmlformats.org/officeDocument/2006/relationships/hyperlink" Target="https://duckduckgo.com/?q=%21ducky%20striver%20takeUforward%20Segregate%20odd%20and%20even%20nodes%20solution" TargetMode="External"/><Relationship Id="rId287" Type="http://schemas.openxmlformats.org/officeDocument/2006/relationships/hyperlink" Target="https://duckduckgo.com/?q=%21ducky%20leetcode%20Remove%20Nth%20node%20from%20back" TargetMode="External"/><Relationship Id="rId288" Type="http://schemas.openxmlformats.org/officeDocument/2006/relationships/hyperlink" Target="https://duckduckgo.com/?q=%21ducky%20striver%20takeUforward%20Remove%20Nth%20node%20from%20back%20solution" TargetMode="External"/><Relationship Id="rId289" Type="http://schemas.openxmlformats.org/officeDocument/2006/relationships/hyperlink" Target="https://duckduckgo.com/?q=%21ducky%20leetcode%20Delete%20the%20middle%20node" TargetMode="External"/><Relationship Id="rId290" Type="http://schemas.openxmlformats.org/officeDocument/2006/relationships/hyperlink" Target="https://duckduckgo.com/?q=%21ducky%20striver%20takeUforward%20Delete%20the%20middle%20node%20solution" TargetMode="External"/><Relationship Id="rId291" Type="http://schemas.openxmlformats.org/officeDocument/2006/relationships/hyperlink" Target="https://duckduckgo.com/?q=%21ducky%20leetcode%20Sort%20a%20LinkedList" TargetMode="External"/><Relationship Id="rId292" Type="http://schemas.openxmlformats.org/officeDocument/2006/relationships/hyperlink" Target="https://duckduckgo.com/?q=%21ducky%20striver%20takeUforward%20Sort%20a%20LinkedList%20solution" TargetMode="External"/><Relationship Id="rId293" Type="http://schemas.openxmlformats.org/officeDocument/2006/relationships/hyperlink" Target="https://duckduckgo.com/?q=%21ducky%20leetcode%20Sort%20LL%20of%200s%201s%202s" TargetMode="External"/><Relationship Id="rId294" Type="http://schemas.openxmlformats.org/officeDocument/2006/relationships/hyperlink" Target="https://duckduckgo.com/?q=%21ducky%20striver%20takeUforward%20Sort%20LL%20of%200s%201s%202s%20solution" TargetMode="External"/><Relationship Id="rId295" Type="http://schemas.openxmlformats.org/officeDocument/2006/relationships/hyperlink" Target="https://duckduckgo.com/?q=%21ducky%20leetcode%20Intersection%20point%20of%20Y%20LinkedLists" TargetMode="External"/><Relationship Id="rId296" Type="http://schemas.openxmlformats.org/officeDocument/2006/relationships/hyperlink" Target="https://duckduckgo.com/?q=%21ducky%20striver%20takeUforward%20Intersection%20point%20of%20Y%20LinkedLists%20solution" TargetMode="External"/><Relationship Id="rId297" Type="http://schemas.openxmlformats.org/officeDocument/2006/relationships/hyperlink" Target="https://duckduckgo.com/?q=%21ducky%20leetcode%20Add%201%20to%20number%20as%20LL" TargetMode="External"/><Relationship Id="rId298" Type="http://schemas.openxmlformats.org/officeDocument/2006/relationships/hyperlink" Target="https://duckduckgo.com/?q=%21ducky%20striver%20takeUforward%20Add%201%20to%20number%20as%20LL%20solution" TargetMode="External"/><Relationship Id="rId299" Type="http://schemas.openxmlformats.org/officeDocument/2006/relationships/hyperlink" Target="https://duckduckgo.com/?q=%21ducky%20leetcode%20Add%20two%20numbers%20as%20LL" TargetMode="External"/><Relationship Id="rId300" Type="http://schemas.openxmlformats.org/officeDocument/2006/relationships/hyperlink" Target="https://duckduckgo.com/?q=%21ducky%20striver%20takeUforward%20Add%20two%20numbers%20as%20LL%20solution" TargetMode="External"/><Relationship Id="rId301" Type="http://schemas.openxmlformats.org/officeDocument/2006/relationships/hyperlink" Target="https://duckduckgo.com/?q=%21ducky%20leetcode%20Delete%20all%20occurrences%20of%20a%20key%20in%20DLL" TargetMode="External"/><Relationship Id="rId302" Type="http://schemas.openxmlformats.org/officeDocument/2006/relationships/hyperlink" Target="https://duckduckgo.com/?q=%21ducky%20striver%20takeUforward%20Delete%20all%20occurrences%20of%20a%20key%20in%20DLL%20solution" TargetMode="External"/><Relationship Id="rId303" Type="http://schemas.openxmlformats.org/officeDocument/2006/relationships/hyperlink" Target="https://duckduckgo.com/?q=%21ducky%20leetcode%20Find%20pairs%20with%20given%20sum%20in%20DLL" TargetMode="External"/><Relationship Id="rId304" Type="http://schemas.openxmlformats.org/officeDocument/2006/relationships/hyperlink" Target="https://duckduckgo.com/?q=%21ducky%20striver%20takeUforward%20Find%20pairs%20with%20given%20sum%20in%20DLL%20solution" TargetMode="External"/><Relationship Id="rId305" Type="http://schemas.openxmlformats.org/officeDocument/2006/relationships/hyperlink" Target="https://duckduckgo.com/?q=%21ducky%20leetcode%20Remove%20duplicates%20from%20sorted%20DLL" TargetMode="External"/><Relationship Id="rId306" Type="http://schemas.openxmlformats.org/officeDocument/2006/relationships/hyperlink" Target="https://duckduckgo.com/?q=%21ducky%20striver%20takeUforward%20Remove%20duplicates%20from%20sorted%20DLL%20solution" TargetMode="External"/><Relationship Id="rId307" Type="http://schemas.openxmlformats.org/officeDocument/2006/relationships/hyperlink" Target="https://duckduckgo.com/?q=%21ducky%20leetcode%20Reverse%20LL%20in%20groups%20of%20K" TargetMode="External"/><Relationship Id="rId308" Type="http://schemas.openxmlformats.org/officeDocument/2006/relationships/hyperlink" Target="https://duckduckgo.com/?q=%21ducky%20striver%20takeUforward%20Reverse%20LL%20in%20groups%20of%20K%20solution" TargetMode="External"/><Relationship Id="rId309" Type="http://schemas.openxmlformats.org/officeDocument/2006/relationships/hyperlink" Target="https://duckduckgo.com/?q=%21ducky%20leetcode%20Rotate%20a%20LinkedList" TargetMode="External"/><Relationship Id="rId310" Type="http://schemas.openxmlformats.org/officeDocument/2006/relationships/hyperlink" Target="https://duckduckgo.com/?q=%21ducky%20striver%20takeUforward%20Rotate%20a%20LinkedList%20solution" TargetMode="External"/><Relationship Id="rId311" Type="http://schemas.openxmlformats.org/officeDocument/2006/relationships/hyperlink" Target="https://duckduckgo.com/?q=%21ducky%20leetcode%20Flatten%20a%20LinkedList" TargetMode="External"/><Relationship Id="rId312" Type="http://schemas.openxmlformats.org/officeDocument/2006/relationships/hyperlink" Target="https://duckduckgo.com/?q=%21ducky%20striver%20takeUforward%20Flatten%20a%20LinkedList%20solution" TargetMode="External"/><Relationship Id="rId313" Type="http://schemas.openxmlformats.org/officeDocument/2006/relationships/hyperlink" Target="https://duckduckgo.com/?q=%21ducky%20leetcode%20Clone%20LL%20with%20random%20pointer" TargetMode="External"/><Relationship Id="rId314" Type="http://schemas.openxmlformats.org/officeDocument/2006/relationships/hyperlink" Target="https://duckduckgo.com/?q=%21ducky%20striver%20takeUforward%20Clone%20LL%20with%20random%20pointer%20solution" TargetMode="External"/><Relationship Id="rId315" Type="http://schemas.openxmlformats.org/officeDocument/2006/relationships/hyperlink" Target="https://duckduckgo.com/?q=%21ducky%20leetcode%20Recursive%20atoi%28%29" TargetMode="External"/><Relationship Id="rId316" Type="http://schemas.openxmlformats.org/officeDocument/2006/relationships/hyperlink" Target="https://duckduckgo.com/?q=%21ducky%20striver%20takeUforward%20Recursive%20atoi%28%29%20solution" TargetMode="External"/><Relationship Id="rId317" Type="http://schemas.openxmlformats.org/officeDocument/2006/relationships/hyperlink" Target="https://duckduckgo.com/?q=%21ducky%20leetcode%20Pow%28x%2C%20n%29" TargetMode="External"/><Relationship Id="rId318" Type="http://schemas.openxmlformats.org/officeDocument/2006/relationships/hyperlink" Target="https://duckduckgo.com/?q=%21ducky%20striver%20takeUforward%20Pow%28x%2C%20n%29%20solution" TargetMode="External"/><Relationship Id="rId319" Type="http://schemas.openxmlformats.org/officeDocument/2006/relationships/hyperlink" Target="https://duckduckgo.com/?q=%21ducky%20leetcode%20Count%20Good%20numbers" TargetMode="External"/><Relationship Id="rId320" Type="http://schemas.openxmlformats.org/officeDocument/2006/relationships/hyperlink" Target="https://duckduckgo.com/?q=%21ducky%20striver%20takeUforward%20Count%20Good%20numbers%20solution" TargetMode="External"/><Relationship Id="rId321" Type="http://schemas.openxmlformats.org/officeDocument/2006/relationships/hyperlink" Target="https://duckduckgo.com/?q=%21ducky%20leetcode%20Sort%20a%20stack%20using%20recursion" TargetMode="External"/><Relationship Id="rId322" Type="http://schemas.openxmlformats.org/officeDocument/2006/relationships/hyperlink" Target="https://duckduckgo.com/?q=%21ducky%20striver%20takeUforward%20Sort%20a%20stack%20using%20recursion%20solution" TargetMode="External"/><Relationship Id="rId323" Type="http://schemas.openxmlformats.org/officeDocument/2006/relationships/hyperlink" Target="https://duckduckgo.com/?q=%21ducky%20leetcode%20Reverse%20a%20stack%20using%20recursion" TargetMode="External"/><Relationship Id="rId324" Type="http://schemas.openxmlformats.org/officeDocument/2006/relationships/hyperlink" Target="https://duckduckgo.com/?q=%21ducky%20striver%20takeUforward%20Reverse%20a%20stack%20using%20recursion%20solution" TargetMode="External"/><Relationship Id="rId325" Type="http://schemas.openxmlformats.org/officeDocument/2006/relationships/hyperlink" Target="https://duckduckgo.com/?q=%21ducky%20leetcode%20Generate%20all%20binary%20strings" TargetMode="External"/><Relationship Id="rId326" Type="http://schemas.openxmlformats.org/officeDocument/2006/relationships/hyperlink" Target="https://duckduckgo.com/?q=%21ducky%20striver%20takeUforward%20Generate%20all%20binary%20strings%20solution" TargetMode="External"/><Relationship Id="rId327" Type="http://schemas.openxmlformats.org/officeDocument/2006/relationships/hyperlink" Target="https://duckduckgo.com/?q=%21ducky%20leetcode%20Generate%20Parentheses" TargetMode="External"/><Relationship Id="rId328" Type="http://schemas.openxmlformats.org/officeDocument/2006/relationships/hyperlink" Target="https://duckduckgo.com/?q=%21ducky%20striver%20takeUforward%20Generate%20Parentheses%20solution" TargetMode="External"/><Relationship Id="rId329" Type="http://schemas.openxmlformats.org/officeDocument/2006/relationships/hyperlink" Target="https://duckduckgo.com/?q=%21ducky%20leetcode%20Print%20all%20subsequences%20%28Power%20Set%29" TargetMode="External"/><Relationship Id="rId330" Type="http://schemas.openxmlformats.org/officeDocument/2006/relationships/hyperlink" Target="https://duckduckgo.com/?q=%21ducky%20striver%20takeUforward%20Print%20all%20subsequences%20%28Power%20Set%29%20solution" TargetMode="External"/><Relationship Id="rId331" Type="http://schemas.openxmlformats.org/officeDocument/2006/relationships/hyperlink" Target="https://duckduckgo.com/?q=%21ducky%20leetcode%20Learn%20all%20patterns%20of%20subsequences" TargetMode="External"/><Relationship Id="rId332" Type="http://schemas.openxmlformats.org/officeDocument/2006/relationships/hyperlink" Target="https://duckduckgo.com/?q=%21ducky%20striver%20takeUforward%20Learn%20all%20patterns%20of%20subsequences%20solution" TargetMode="External"/><Relationship Id="rId333" Type="http://schemas.openxmlformats.org/officeDocument/2006/relationships/hyperlink" Target="https://duckduckgo.com/?q=%21ducky%20leetcode%20Count%20subsequences%20with%20sum%20K" TargetMode="External"/><Relationship Id="rId334" Type="http://schemas.openxmlformats.org/officeDocument/2006/relationships/hyperlink" Target="https://duckduckgo.com/?q=%21ducky%20striver%20takeUforward%20Count%20subsequences%20with%20sum%20K%20solution" TargetMode="External"/><Relationship Id="rId335" Type="http://schemas.openxmlformats.org/officeDocument/2006/relationships/hyperlink" Target="https://duckduckgo.com/?q=%21ducky%20leetcode%20Check%20subsequence%20with%20sum%20K%20exists" TargetMode="External"/><Relationship Id="rId336" Type="http://schemas.openxmlformats.org/officeDocument/2006/relationships/hyperlink" Target="https://duckduckgo.com/?q=%21ducky%20striver%20takeUforward%20Check%20subsequence%20with%20sum%20K%20exists%20solution" TargetMode="External"/><Relationship Id="rId337" Type="http://schemas.openxmlformats.org/officeDocument/2006/relationships/hyperlink" Target="https://duckduckgo.com/?q=%21ducky%20leetcode%20Combination%20Sum" TargetMode="External"/><Relationship Id="rId338" Type="http://schemas.openxmlformats.org/officeDocument/2006/relationships/hyperlink" Target="https://duckduckgo.com/?q=%21ducky%20striver%20takeUforward%20Combination%20Sum%20solution" TargetMode="External"/><Relationship Id="rId339" Type="http://schemas.openxmlformats.org/officeDocument/2006/relationships/hyperlink" Target="https://duckduckgo.com/?q=%21ducky%20leetcode%20Combination%20Sum%20II" TargetMode="External"/><Relationship Id="rId340" Type="http://schemas.openxmlformats.org/officeDocument/2006/relationships/hyperlink" Target="https://duckduckgo.com/?q=%21ducky%20striver%20takeUforward%20Combination%20Sum%20II%20solution" TargetMode="External"/><Relationship Id="rId341" Type="http://schemas.openxmlformats.org/officeDocument/2006/relationships/hyperlink" Target="https://duckduckgo.com/?q=%21ducky%20leetcode%20Subset%20Sum%20I" TargetMode="External"/><Relationship Id="rId342" Type="http://schemas.openxmlformats.org/officeDocument/2006/relationships/hyperlink" Target="https://duckduckgo.com/?q=%21ducky%20striver%20takeUforward%20Subset%20Sum%20I%20solution" TargetMode="External"/><Relationship Id="rId343" Type="http://schemas.openxmlformats.org/officeDocument/2006/relationships/hyperlink" Target="https://duckduckgo.com/?q=%21ducky%20leetcode%20Subset%20Sum%20II" TargetMode="External"/><Relationship Id="rId344" Type="http://schemas.openxmlformats.org/officeDocument/2006/relationships/hyperlink" Target="https://duckduckgo.com/?q=%21ducky%20striver%20takeUforward%20Subset%20Sum%20II%20solution" TargetMode="External"/><Relationship Id="rId345" Type="http://schemas.openxmlformats.org/officeDocument/2006/relationships/hyperlink" Target="https://duckduckgo.com/?q=%21ducky%20leetcode%20Combination%20Sum%20III" TargetMode="External"/><Relationship Id="rId346" Type="http://schemas.openxmlformats.org/officeDocument/2006/relationships/hyperlink" Target="https://duckduckgo.com/?q=%21ducky%20striver%20takeUforward%20Combination%20Sum%20III%20solution" TargetMode="External"/><Relationship Id="rId347" Type="http://schemas.openxmlformats.org/officeDocument/2006/relationships/hyperlink" Target="https://duckduckgo.com/?q=%21ducky%20leetcode%20Letter%20Combinations%20of%20a%20Phone%20Number" TargetMode="External"/><Relationship Id="rId348" Type="http://schemas.openxmlformats.org/officeDocument/2006/relationships/hyperlink" Target="https://duckduckgo.com/?q=%21ducky%20striver%20takeUforward%20Letter%20Combinations%20of%20a%20Phone%20Number%20solution" TargetMode="External"/><Relationship Id="rId349" Type="http://schemas.openxmlformats.org/officeDocument/2006/relationships/hyperlink" Target="https://duckduckgo.com/?q=%21ducky%20leetcode%20Palindrome%20Partitioning" TargetMode="External"/><Relationship Id="rId350" Type="http://schemas.openxmlformats.org/officeDocument/2006/relationships/hyperlink" Target="https://duckduckgo.com/?q=%21ducky%20striver%20takeUforward%20Palindrome%20Partitioning%20solution" TargetMode="External"/><Relationship Id="rId351" Type="http://schemas.openxmlformats.org/officeDocument/2006/relationships/hyperlink" Target="https://duckduckgo.com/?q=%21ducky%20leetcode%20Word%20Search" TargetMode="External"/><Relationship Id="rId352" Type="http://schemas.openxmlformats.org/officeDocument/2006/relationships/hyperlink" Target="https://duckduckgo.com/?q=%21ducky%20striver%20takeUforward%20Word%20Search%20solution" TargetMode="External"/><Relationship Id="rId353" Type="http://schemas.openxmlformats.org/officeDocument/2006/relationships/hyperlink" Target="https://duckduckgo.com/?q=%21ducky%20leetcode%20N%20Queens" TargetMode="External"/><Relationship Id="rId354" Type="http://schemas.openxmlformats.org/officeDocument/2006/relationships/hyperlink" Target="https://duckduckgo.com/?q=%21ducky%20striver%20takeUforward%20N%20Queens%20solution" TargetMode="External"/><Relationship Id="rId355" Type="http://schemas.openxmlformats.org/officeDocument/2006/relationships/hyperlink" Target="https://duckduckgo.com/?q=%21ducky%20leetcode%20Rat%20in%20a%20Maze" TargetMode="External"/><Relationship Id="rId356" Type="http://schemas.openxmlformats.org/officeDocument/2006/relationships/hyperlink" Target="https://duckduckgo.com/?q=%21ducky%20striver%20takeUforward%20Rat%20in%20a%20Maze%20solution" TargetMode="External"/><Relationship Id="rId357" Type="http://schemas.openxmlformats.org/officeDocument/2006/relationships/hyperlink" Target="https://duckduckgo.com/?q=%21ducky%20leetcode%20Word%20Break" TargetMode="External"/><Relationship Id="rId358" Type="http://schemas.openxmlformats.org/officeDocument/2006/relationships/hyperlink" Target="https://duckduckgo.com/?q=%21ducky%20striver%20takeUforward%20Word%20Break%20solution" TargetMode="External"/><Relationship Id="rId359" Type="http://schemas.openxmlformats.org/officeDocument/2006/relationships/hyperlink" Target="https://duckduckgo.com/?q=%21ducky%20leetcode%20M%20Coloring%20Problem" TargetMode="External"/><Relationship Id="rId360" Type="http://schemas.openxmlformats.org/officeDocument/2006/relationships/hyperlink" Target="https://duckduckgo.com/?q=%21ducky%20striver%20takeUforward%20M%20Coloring%20Problem%20solution" TargetMode="External"/><Relationship Id="rId361" Type="http://schemas.openxmlformats.org/officeDocument/2006/relationships/hyperlink" Target="https://duckduckgo.com/?q=%21ducky%20leetcode%20Sudoku%20Solver" TargetMode="External"/><Relationship Id="rId362" Type="http://schemas.openxmlformats.org/officeDocument/2006/relationships/hyperlink" Target="https://duckduckgo.com/?q=%21ducky%20striver%20takeUforward%20Sudoku%20Solver%20solution" TargetMode="External"/><Relationship Id="rId363" Type="http://schemas.openxmlformats.org/officeDocument/2006/relationships/hyperlink" Target="https://duckduckgo.com/?q=%21ducky%20leetcode%20Expression%20Add%20Operators" TargetMode="External"/><Relationship Id="rId364" Type="http://schemas.openxmlformats.org/officeDocument/2006/relationships/hyperlink" Target="https://duckduckgo.com/?q=%21ducky%20striver%20takeUforward%20Expression%20Add%20Operators%20solution" TargetMode="External"/><Relationship Id="rId365" Type="http://schemas.openxmlformats.org/officeDocument/2006/relationships/hyperlink" Target="https://duckduckgo.com/?q=%21ducky%20leetcode%20Introduction%20to%20Bit%20Manipulation" TargetMode="External"/><Relationship Id="rId366" Type="http://schemas.openxmlformats.org/officeDocument/2006/relationships/hyperlink" Target="https://duckduckgo.com/?q=%21ducky%20striver%20takeUforward%20Introduction%20to%20Bit%20Manipulation%20solution" TargetMode="External"/><Relationship Id="rId367" Type="http://schemas.openxmlformats.org/officeDocument/2006/relationships/hyperlink" Target="https://duckduckgo.com/?q=%21ducky%20leetcode%20Check%20if%20i-th%20bit%20is%20set" TargetMode="External"/><Relationship Id="rId368" Type="http://schemas.openxmlformats.org/officeDocument/2006/relationships/hyperlink" Target="https://duckduckgo.com/?q=%21ducky%20striver%20takeUforward%20Check%20if%20i-th%20bit%20is%20set%20solution" TargetMode="External"/><Relationship Id="rId369" Type="http://schemas.openxmlformats.org/officeDocument/2006/relationships/hyperlink" Target="https://duckduckgo.com/?q=%21ducky%20leetcode%20Check%20odd/even" TargetMode="External"/><Relationship Id="rId370" Type="http://schemas.openxmlformats.org/officeDocument/2006/relationships/hyperlink" Target="https://duckduckgo.com/?q=%21ducky%20striver%20takeUforward%20Check%20odd/even%20solution" TargetMode="External"/><Relationship Id="rId371" Type="http://schemas.openxmlformats.org/officeDocument/2006/relationships/hyperlink" Target="https://duckduckgo.com/?q=%21ducky%20leetcode%20Check%20if%20power%20of%202" TargetMode="External"/><Relationship Id="rId372" Type="http://schemas.openxmlformats.org/officeDocument/2006/relationships/hyperlink" Target="https://duckduckgo.com/?q=%21ducky%20striver%20takeUforward%20Check%20if%20power%20of%202%20solution" TargetMode="External"/><Relationship Id="rId373" Type="http://schemas.openxmlformats.org/officeDocument/2006/relationships/hyperlink" Target="https://duckduckgo.com/?q=%21ducky%20leetcode%20Count%20set%20bits" TargetMode="External"/><Relationship Id="rId374" Type="http://schemas.openxmlformats.org/officeDocument/2006/relationships/hyperlink" Target="https://duckduckgo.com/?q=%21ducky%20striver%20takeUforward%20Count%20set%20bits%20solution" TargetMode="External"/><Relationship Id="rId375" Type="http://schemas.openxmlformats.org/officeDocument/2006/relationships/hyperlink" Target="https://duckduckgo.com/?q=%21ducky%20leetcode%20Set/Clear/Toggle%20a%20bit" TargetMode="External"/><Relationship Id="rId376" Type="http://schemas.openxmlformats.org/officeDocument/2006/relationships/hyperlink" Target="https://duckduckgo.com/?q=%21ducky%20striver%20takeUforward%20Set/Clear/Toggle%20a%20bit%20solution" TargetMode="External"/><Relationship Id="rId377" Type="http://schemas.openxmlformats.org/officeDocument/2006/relationships/hyperlink" Target="https://duckduckgo.com/?q=%21ducky%20leetcode%20Remove%20last%20set%20bit%20/%20Swap%20numbers" TargetMode="External"/><Relationship Id="rId378" Type="http://schemas.openxmlformats.org/officeDocument/2006/relationships/hyperlink" Target="https://duckduckgo.com/?q=%21ducky%20striver%20takeUforward%20Remove%20last%20set%20bit%20/%20Swap%20numbers%20solution" TargetMode="External"/><Relationship Id="rId379" Type="http://schemas.openxmlformats.org/officeDocument/2006/relationships/hyperlink" Target="https://duckduckgo.com/?q=%21ducky%20leetcode%20Single%20Number%20I" TargetMode="External"/><Relationship Id="rId380" Type="http://schemas.openxmlformats.org/officeDocument/2006/relationships/hyperlink" Target="https://duckduckgo.com/?q=%21ducky%20striver%20takeUforward%20Single%20Number%20I%20solution" TargetMode="External"/><Relationship Id="rId381" Type="http://schemas.openxmlformats.org/officeDocument/2006/relationships/hyperlink" Target="https://duckduckgo.com/?q=%21ducky%20leetcode%20Single%20Number%20II" TargetMode="External"/><Relationship Id="rId382" Type="http://schemas.openxmlformats.org/officeDocument/2006/relationships/hyperlink" Target="https://duckduckgo.com/?q=%21ducky%20striver%20takeUforward%20Single%20Number%20II%20solution" TargetMode="External"/><Relationship Id="rId383" Type="http://schemas.openxmlformats.org/officeDocument/2006/relationships/hyperlink" Target="https://duckduckgo.com/?q=%21ducky%20leetcode%20Single%20Number%20III" TargetMode="External"/><Relationship Id="rId384" Type="http://schemas.openxmlformats.org/officeDocument/2006/relationships/hyperlink" Target="https://duckduckgo.com/?q=%21ducky%20striver%20takeUforward%20Single%20Number%20III%20solution" TargetMode="External"/><Relationship Id="rId385" Type="http://schemas.openxmlformats.org/officeDocument/2006/relationships/hyperlink" Target="https://duckduckgo.com/?q=%21ducky%20leetcode%20Divide%20Two%20Integers" TargetMode="External"/><Relationship Id="rId386" Type="http://schemas.openxmlformats.org/officeDocument/2006/relationships/hyperlink" Target="https://duckduckgo.com/?q=%21ducky%20striver%20takeUforward%20Divide%20Two%20Integers%20solution" TargetMode="External"/><Relationship Id="rId387" Type="http://schemas.openxmlformats.org/officeDocument/2006/relationships/hyperlink" Target="https://duckduckgo.com/?q=%21ducky%20leetcode%20Power%20Set%20using%20bits" TargetMode="External"/><Relationship Id="rId388" Type="http://schemas.openxmlformats.org/officeDocument/2006/relationships/hyperlink" Target="https://duckduckgo.com/?q=%21ducky%20striver%20takeUforward%20Power%20Set%20using%20bits%20solution" TargetMode="External"/><Relationship Id="rId389" Type="http://schemas.openxmlformats.org/officeDocument/2006/relationships/hyperlink" Target="https://duckduckgo.com/?q=%21ducky%20leetcode%20Count%20bits%20to%20flip%20%28XOR%29" TargetMode="External"/><Relationship Id="rId390" Type="http://schemas.openxmlformats.org/officeDocument/2006/relationships/hyperlink" Target="https://duckduckgo.com/?q=%21ducky%20striver%20takeUforward%20Count%20bits%20to%20flip%20%28XOR%29%20solution" TargetMode="External"/><Relationship Id="rId391" Type="http://schemas.openxmlformats.org/officeDocument/2006/relationships/hyperlink" Target="https://duckduckgo.com/?q=%21ducky%20leetcode%20Find%20XOR%20of%20L%20to%20R" TargetMode="External"/><Relationship Id="rId392" Type="http://schemas.openxmlformats.org/officeDocument/2006/relationships/hyperlink" Target="https://duckduckgo.com/?q=%21ducky%20striver%20takeUforward%20Find%20XOR%20of%20L%20to%20R%20solution" TargetMode="External"/><Relationship Id="rId393" Type="http://schemas.openxmlformats.org/officeDocument/2006/relationships/hyperlink" Target="https://duckduckgo.com/?q=%21ducky%20leetcode%20Sieve%20of%20Eratosthenes" TargetMode="External"/><Relationship Id="rId394" Type="http://schemas.openxmlformats.org/officeDocument/2006/relationships/hyperlink" Target="https://duckduckgo.com/?q=%21ducky%20striver%20takeUforward%20Sieve%20of%20Eratosthenes%20solution" TargetMode="External"/><Relationship Id="rId395" Type="http://schemas.openxmlformats.org/officeDocument/2006/relationships/hyperlink" Target="https://duckduckgo.com/?q=%21ducky%20leetcode%20Print%20Prime%20Factors" TargetMode="External"/><Relationship Id="rId396" Type="http://schemas.openxmlformats.org/officeDocument/2006/relationships/hyperlink" Target="https://duckduckgo.com/?q=%21ducky%20striver%20takeUforward%20Print%20Prime%20Factors%20solution" TargetMode="External"/><Relationship Id="rId397" Type="http://schemas.openxmlformats.org/officeDocument/2006/relationships/hyperlink" Target="https://duckduckgo.com/?q=%21ducky%20leetcode%20All%20Divisors" TargetMode="External"/><Relationship Id="rId398" Type="http://schemas.openxmlformats.org/officeDocument/2006/relationships/hyperlink" Target="https://duckduckgo.com/?q=%21ducky%20striver%20takeUforward%20All%20Divisors%20solution" TargetMode="External"/><Relationship Id="rId399" Type="http://schemas.openxmlformats.org/officeDocument/2006/relationships/hyperlink" Target="https://duckduckgo.com/?q=%21ducky%20leetcode%20Power%28n%29%20using%20bits" TargetMode="External"/><Relationship Id="rId400" Type="http://schemas.openxmlformats.org/officeDocument/2006/relationships/hyperlink" Target="https://duckduckgo.com/?q=%21ducky%20striver%20takeUforward%20Power%28n%29%20using%20bits%20solution" TargetMode="External"/><Relationship Id="rId401" Type="http://schemas.openxmlformats.org/officeDocument/2006/relationships/hyperlink" Target="https://duckduckgo.com/?q=%21ducky%20leetcode%20Stack%20using%20Arrays" TargetMode="External"/><Relationship Id="rId402" Type="http://schemas.openxmlformats.org/officeDocument/2006/relationships/hyperlink" Target="https://duckduckgo.com/?q=%21ducky%20striver%20takeUforward%20Stack%20using%20Arrays%20solution" TargetMode="External"/><Relationship Id="rId403" Type="http://schemas.openxmlformats.org/officeDocument/2006/relationships/hyperlink" Target="https://duckduckgo.com/?q=%21ducky%20leetcode%20Queue%20using%20Arrays" TargetMode="External"/><Relationship Id="rId404" Type="http://schemas.openxmlformats.org/officeDocument/2006/relationships/hyperlink" Target="https://duckduckgo.com/?q=%21ducky%20striver%20takeUforward%20Queue%20using%20Arrays%20solution" TargetMode="External"/><Relationship Id="rId405" Type="http://schemas.openxmlformats.org/officeDocument/2006/relationships/hyperlink" Target="https://duckduckgo.com/?q=%21ducky%20leetcode%20Stack%20using%20Queue" TargetMode="External"/><Relationship Id="rId406" Type="http://schemas.openxmlformats.org/officeDocument/2006/relationships/hyperlink" Target="https://duckduckgo.com/?q=%21ducky%20striver%20takeUforward%20Stack%20using%20Queue%20solution" TargetMode="External"/><Relationship Id="rId407" Type="http://schemas.openxmlformats.org/officeDocument/2006/relationships/hyperlink" Target="https://duckduckgo.com/?q=%21ducky%20leetcode%20Queue%20using%20Stack" TargetMode="External"/><Relationship Id="rId408" Type="http://schemas.openxmlformats.org/officeDocument/2006/relationships/hyperlink" Target="https://duckduckgo.com/?q=%21ducky%20striver%20takeUforward%20Queue%20using%20Stack%20solution" TargetMode="External"/><Relationship Id="rId409" Type="http://schemas.openxmlformats.org/officeDocument/2006/relationships/hyperlink" Target="https://duckduckgo.com/?q=%21ducky%20leetcode%20Stack%20using%20LinkedList" TargetMode="External"/><Relationship Id="rId410" Type="http://schemas.openxmlformats.org/officeDocument/2006/relationships/hyperlink" Target="https://duckduckgo.com/?q=%21ducky%20striver%20takeUforward%20Stack%20using%20LinkedList%20solution" TargetMode="External"/><Relationship Id="rId411" Type="http://schemas.openxmlformats.org/officeDocument/2006/relationships/hyperlink" Target="https://duckduckgo.com/?q=%21ducky%20leetcode%20Queue%20using%20LinkedList" TargetMode="External"/><Relationship Id="rId412" Type="http://schemas.openxmlformats.org/officeDocument/2006/relationships/hyperlink" Target="https://duckduckgo.com/?q=%21ducky%20striver%20takeUforward%20Queue%20using%20LinkedList%20solution" TargetMode="External"/><Relationship Id="rId413" Type="http://schemas.openxmlformats.org/officeDocument/2006/relationships/hyperlink" Target="https://duckduckgo.com/?q=%21ducky%20leetcode%20Balanced%20Parentheses" TargetMode="External"/><Relationship Id="rId414" Type="http://schemas.openxmlformats.org/officeDocument/2006/relationships/hyperlink" Target="https://duckduckgo.com/?q=%21ducky%20striver%20takeUforward%20Balanced%20Parentheses%20solution" TargetMode="External"/><Relationship Id="rId415" Type="http://schemas.openxmlformats.org/officeDocument/2006/relationships/hyperlink" Target="https://duckduckgo.com/?q=%21ducky%20leetcode%20Implement%20Min%20Stack" TargetMode="External"/><Relationship Id="rId416" Type="http://schemas.openxmlformats.org/officeDocument/2006/relationships/hyperlink" Target="https://duckduckgo.com/?q=%21ducky%20striver%20takeUforward%20Implement%20Min%20Stack%20solution" TargetMode="External"/><Relationship Id="rId417" Type="http://schemas.openxmlformats.org/officeDocument/2006/relationships/hyperlink" Target="https://duckduckgo.com/?q=%21ducky%20leetcode%20Infix%20to%20Postfix" TargetMode="External"/><Relationship Id="rId418" Type="http://schemas.openxmlformats.org/officeDocument/2006/relationships/hyperlink" Target="https://duckduckgo.com/?q=%21ducky%20striver%20takeUforward%20Infix%20to%20Postfix%20solution" TargetMode="External"/><Relationship Id="rId419" Type="http://schemas.openxmlformats.org/officeDocument/2006/relationships/hyperlink" Target="https://duckduckgo.com/?q=%21ducky%20leetcode%20Prefix%20to%20Infix" TargetMode="External"/><Relationship Id="rId420" Type="http://schemas.openxmlformats.org/officeDocument/2006/relationships/hyperlink" Target="https://duckduckgo.com/?q=%21ducky%20striver%20takeUforward%20Prefix%20to%20Infix%20solution" TargetMode="External"/><Relationship Id="rId421" Type="http://schemas.openxmlformats.org/officeDocument/2006/relationships/hyperlink" Target="https://duckduckgo.com/?q=%21ducky%20leetcode%20Prefix%20to%20Postfix" TargetMode="External"/><Relationship Id="rId422" Type="http://schemas.openxmlformats.org/officeDocument/2006/relationships/hyperlink" Target="https://duckduckgo.com/?q=%21ducky%20striver%20takeUforward%20Prefix%20to%20Postfix%20solution" TargetMode="External"/><Relationship Id="rId423" Type="http://schemas.openxmlformats.org/officeDocument/2006/relationships/hyperlink" Target="https://duckduckgo.com/?q=%21ducky%20leetcode%20Postfix%20to%20Infix" TargetMode="External"/><Relationship Id="rId424" Type="http://schemas.openxmlformats.org/officeDocument/2006/relationships/hyperlink" Target="https://duckduckgo.com/?q=%21ducky%20striver%20takeUforward%20Postfix%20to%20Infix%20solution" TargetMode="External"/><Relationship Id="rId425" Type="http://schemas.openxmlformats.org/officeDocument/2006/relationships/hyperlink" Target="https://duckduckgo.com/?q=%21ducky%20leetcode%20Postfix%20to%20Prefix" TargetMode="External"/><Relationship Id="rId426" Type="http://schemas.openxmlformats.org/officeDocument/2006/relationships/hyperlink" Target="https://duckduckgo.com/?q=%21ducky%20striver%20takeUforward%20Postfix%20to%20Prefix%20solution" TargetMode="External"/><Relationship Id="rId427" Type="http://schemas.openxmlformats.org/officeDocument/2006/relationships/hyperlink" Target="https://duckduckgo.com/?q=%21ducky%20leetcode%20Infix%20to%20Prefix" TargetMode="External"/><Relationship Id="rId428" Type="http://schemas.openxmlformats.org/officeDocument/2006/relationships/hyperlink" Target="https://duckduckgo.com/?q=%21ducky%20striver%20takeUforward%20Infix%20to%20Prefix%20solution" TargetMode="External"/><Relationship Id="rId429" Type="http://schemas.openxmlformats.org/officeDocument/2006/relationships/hyperlink" Target="https://duckduckgo.com/?q=%21ducky%20leetcode%20Next%20Greater%20Element%20I" TargetMode="External"/><Relationship Id="rId430" Type="http://schemas.openxmlformats.org/officeDocument/2006/relationships/hyperlink" Target="https://duckduckgo.com/?q=%21ducky%20striver%20takeUforward%20Next%20Greater%20Element%20I%20solution" TargetMode="External"/><Relationship Id="rId431" Type="http://schemas.openxmlformats.org/officeDocument/2006/relationships/hyperlink" Target="https://duckduckgo.com/?q=%21ducky%20leetcode%20Next%20Greater%20Element%20II" TargetMode="External"/><Relationship Id="rId432" Type="http://schemas.openxmlformats.org/officeDocument/2006/relationships/hyperlink" Target="https://duckduckgo.com/?q=%21ducky%20striver%20takeUforward%20Next%20Greater%20Element%20II%20solution" TargetMode="External"/><Relationship Id="rId433" Type="http://schemas.openxmlformats.org/officeDocument/2006/relationships/hyperlink" Target="https://duckduckgo.com/?q=%21ducky%20leetcode%20Next%20Smaller%20Element" TargetMode="External"/><Relationship Id="rId434" Type="http://schemas.openxmlformats.org/officeDocument/2006/relationships/hyperlink" Target="https://duckduckgo.com/?q=%21ducky%20striver%20takeUforward%20Next%20Smaller%20Element%20solution" TargetMode="External"/><Relationship Id="rId435" Type="http://schemas.openxmlformats.org/officeDocument/2006/relationships/hyperlink" Target="https://duckduckgo.com/?q=%21ducky%20leetcode%20Number%20of%20NGEs%20to%20the%20right" TargetMode="External"/><Relationship Id="rId436" Type="http://schemas.openxmlformats.org/officeDocument/2006/relationships/hyperlink" Target="https://duckduckgo.com/?q=%21ducky%20striver%20takeUforward%20Number%20of%20NGEs%20to%20the%20right%20solution" TargetMode="External"/><Relationship Id="rId437" Type="http://schemas.openxmlformats.org/officeDocument/2006/relationships/hyperlink" Target="https://duckduckgo.com/?q=%21ducky%20leetcode%20Trapping%20Rainwater" TargetMode="External"/><Relationship Id="rId438" Type="http://schemas.openxmlformats.org/officeDocument/2006/relationships/hyperlink" Target="https://duckduckgo.com/?q=%21ducky%20striver%20takeUforward%20Trapping%20Rainwater%20solution" TargetMode="External"/><Relationship Id="rId439" Type="http://schemas.openxmlformats.org/officeDocument/2006/relationships/hyperlink" Target="https://duckduckgo.com/?q=%21ducky%20leetcode%20Sum%20of%20Subarray%20Minimums" TargetMode="External"/><Relationship Id="rId440" Type="http://schemas.openxmlformats.org/officeDocument/2006/relationships/hyperlink" Target="https://duckduckgo.com/?q=%21ducky%20striver%20takeUforward%20Sum%20of%20Subarray%20Minimums%20solution" TargetMode="External"/><Relationship Id="rId441" Type="http://schemas.openxmlformats.org/officeDocument/2006/relationships/hyperlink" Target="https://duckduckgo.com/?q=%21ducky%20leetcode%20Asteroid%20Collision" TargetMode="External"/><Relationship Id="rId442" Type="http://schemas.openxmlformats.org/officeDocument/2006/relationships/hyperlink" Target="https://duckduckgo.com/?q=%21ducky%20striver%20takeUforward%20Asteroid%20Collision%20solution" TargetMode="External"/><Relationship Id="rId443" Type="http://schemas.openxmlformats.org/officeDocument/2006/relationships/hyperlink" Target="https://duckduckgo.com/?q=%21ducky%20leetcode%20Sum%20of%20Subarray%20Ranges" TargetMode="External"/><Relationship Id="rId444" Type="http://schemas.openxmlformats.org/officeDocument/2006/relationships/hyperlink" Target="https://duckduckgo.com/?q=%21ducky%20striver%20takeUforward%20Sum%20of%20Subarray%20Ranges%20solution" TargetMode="External"/><Relationship Id="rId445" Type="http://schemas.openxmlformats.org/officeDocument/2006/relationships/hyperlink" Target="https://duckduckgo.com/?q=%21ducky%20leetcode%20Remove%20K%20Digits" TargetMode="External"/><Relationship Id="rId446" Type="http://schemas.openxmlformats.org/officeDocument/2006/relationships/hyperlink" Target="https://duckduckgo.com/?q=%21ducky%20striver%20takeUforward%20Remove%20K%20Digits%20solution" TargetMode="External"/><Relationship Id="rId447" Type="http://schemas.openxmlformats.org/officeDocument/2006/relationships/hyperlink" Target="https://duckduckgo.com/?q=%21ducky%20leetcode%20Largest%20Rectangle%20in%20Histogram" TargetMode="External"/><Relationship Id="rId448" Type="http://schemas.openxmlformats.org/officeDocument/2006/relationships/hyperlink" Target="https://duckduckgo.com/?q=%21ducky%20striver%20takeUforward%20Largest%20Rectangle%20in%20Histogram%20solution" TargetMode="External"/><Relationship Id="rId449" Type="http://schemas.openxmlformats.org/officeDocument/2006/relationships/hyperlink" Target="https://duckduckgo.com/?q=%21ducky%20leetcode%20Maximal%20Rectangle" TargetMode="External"/><Relationship Id="rId450" Type="http://schemas.openxmlformats.org/officeDocument/2006/relationships/hyperlink" Target="https://duckduckgo.com/?q=%21ducky%20striver%20takeUforward%20Maximal%20Rectangle%20solution" TargetMode="External"/><Relationship Id="rId451" Type="http://schemas.openxmlformats.org/officeDocument/2006/relationships/hyperlink" Target="https://duckduckgo.com/?q=%21ducky%20leetcode%20Maximum%20of%20minimums%20for%20every%20window%20size" TargetMode="External"/><Relationship Id="rId452" Type="http://schemas.openxmlformats.org/officeDocument/2006/relationships/hyperlink" Target="https://duckduckgo.com/?q=%21ducky%20striver%20takeUforward%20Maximum%20of%20minimums%20for%20every%20window%20size%20solution" TargetMode="External"/><Relationship Id="rId453" Type="http://schemas.openxmlformats.org/officeDocument/2006/relationships/hyperlink" Target="https://duckduckgo.com/?q=%21ducky%20leetcode%20The%20Celebrity%20Problem" TargetMode="External"/><Relationship Id="rId454" Type="http://schemas.openxmlformats.org/officeDocument/2006/relationships/hyperlink" Target="https://duckduckgo.com/?q=%21ducky%20striver%20takeUforward%20The%20Celebrity%20Problem%20solution" TargetMode="External"/><Relationship Id="rId455" Type="http://schemas.openxmlformats.org/officeDocument/2006/relationships/hyperlink" Target="https://duckduckgo.com/?q=%21ducky%20leetcode%20Sliding%20Window%20Maximum" TargetMode="External"/><Relationship Id="rId456" Type="http://schemas.openxmlformats.org/officeDocument/2006/relationships/hyperlink" Target="https://duckduckgo.com/?q=%21ducky%20striver%20takeUforward%20Sliding%20Window%20Maximum%20solution" TargetMode="External"/><Relationship Id="rId457" Type="http://schemas.openxmlformats.org/officeDocument/2006/relationships/hyperlink" Target="https://duckduckgo.com/?q=%21ducky%20leetcode%20Stock%20Span%20Problem" TargetMode="External"/><Relationship Id="rId458" Type="http://schemas.openxmlformats.org/officeDocument/2006/relationships/hyperlink" Target="https://duckduckgo.com/?q=%21ducky%20striver%20takeUforward%20Stock%20Span%20Problem%20solution" TargetMode="External"/><Relationship Id="rId459" Type="http://schemas.openxmlformats.org/officeDocument/2006/relationships/hyperlink" Target="https://duckduckgo.com/?q=%21ducky%20leetcode%20LRU%20Cache" TargetMode="External"/><Relationship Id="rId460" Type="http://schemas.openxmlformats.org/officeDocument/2006/relationships/hyperlink" Target="https://duckduckgo.com/?q=%21ducky%20striver%20takeUforward%20LRU%20Cache%20solution" TargetMode="External"/><Relationship Id="rId461" Type="http://schemas.openxmlformats.org/officeDocument/2006/relationships/hyperlink" Target="https://duckduckgo.com/?q=%21ducky%20leetcode%20LFU%20Cache" TargetMode="External"/><Relationship Id="rId462" Type="http://schemas.openxmlformats.org/officeDocument/2006/relationships/hyperlink" Target="https://duckduckgo.com/?q=%21ducky%20striver%20takeUforward%20LFU%20Cache%20solution" TargetMode="External"/><Relationship Id="rId463" Type="http://schemas.openxmlformats.org/officeDocument/2006/relationships/hyperlink" Target="https://duckduckgo.com/?q=%21ducky%20leetcode%20Longest%20Substring%20Without%20Repeating%20Characters" TargetMode="External"/><Relationship Id="rId464" Type="http://schemas.openxmlformats.org/officeDocument/2006/relationships/hyperlink" Target="https://duckduckgo.com/?q=%21ducky%20striver%20takeUforward%20Longest%20Substring%20Without%20Repeating%20Characters%20solution" TargetMode="External"/><Relationship Id="rId465" Type="http://schemas.openxmlformats.org/officeDocument/2006/relationships/hyperlink" Target="https://duckduckgo.com/?q=%21ducky%20leetcode%20Max%20Consecutive%20Ones%20III" TargetMode="External"/><Relationship Id="rId466" Type="http://schemas.openxmlformats.org/officeDocument/2006/relationships/hyperlink" Target="https://duckduckgo.com/?q=%21ducky%20striver%20takeUforward%20Max%20Consecutive%20Ones%20III%20solution" TargetMode="External"/><Relationship Id="rId467" Type="http://schemas.openxmlformats.org/officeDocument/2006/relationships/hyperlink" Target="https://duckduckgo.com/?q=%21ducky%20leetcode%20Fruit%20Into%20Baskets" TargetMode="External"/><Relationship Id="rId468" Type="http://schemas.openxmlformats.org/officeDocument/2006/relationships/hyperlink" Target="https://duckduckgo.com/?q=%21ducky%20striver%20takeUforward%20Fruit%20Into%20Baskets%20solution" TargetMode="External"/><Relationship Id="rId469" Type="http://schemas.openxmlformats.org/officeDocument/2006/relationships/hyperlink" Target="https://duckduckgo.com/?q=%21ducky%20leetcode%20Longest%20repeating%20character%20replacement" TargetMode="External"/><Relationship Id="rId470" Type="http://schemas.openxmlformats.org/officeDocument/2006/relationships/hyperlink" Target="https://duckduckgo.com/?q=%21ducky%20striver%20takeUforward%20Longest%20repeating%20character%20replacement%20solution" TargetMode="External"/><Relationship Id="rId471" Type="http://schemas.openxmlformats.org/officeDocument/2006/relationships/hyperlink" Target="https://duckduckgo.com/?q=%21ducky%20leetcode%20Binary%20subarray%20with%20sum" TargetMode="External"/><Relationship Id="rId472" Type="http://schemas.openxmlformats.org/officeDocument/2006/relationships/hyperlink" Target="https://duckduckgo.com/?q=%21ducky%20striver%20takeUforward%20Binary%20subarray%20with%20sum%20solution" TargetMode="External"/><Relationship Id="rId473" Type="http://schemas.openxmlformats.org/officeDocument/2006/relationships/hyperlink" Target="https://duckduckgo.com/?q=%21ducky%20leetcode%20Count%20number%20of%20nice%20subarrays" TargetMode="External"/><Relationship Id="rId474" Type="http://schemas.openxmlformats.org/officeDocument/2006/relationships/hyperlink" Target="https://duckduckgo.com/?q=%21ducky%20striver%20takeUforward%20Count%20number%20of%20nice%20subarrays%20solution" TargetMode="External"/><Relationship Id="rId475" Type="http://schemas.openxmlformats.org/officeDocument/2006/relationships/hyperlink" Target="https://duckduckgo.com/?q=%21ducky%20leetcode%20Substrings%20containing%20all%20three%20characters" TargetMode="External"/><Relationship Id="rId476" Type="http://schemas.openxmlformats.org/officeDocument/2006/relationships/hyperlink" Target="https://duckduckgo.com/?q=%21ducky%20striver%20takeUforward%20Substrings%20containing%20all%20three%20characters%20solution" TargetMode="External"/><Relationship Id="rId477" Type="http://schemas.openxmlformats.org/officeDocument/2006/relationships/hyperlink" Target="https://duckduckgo.com/?q=%21ducky%20leetcode%20Max%20points%20from%20cards" TargetMode="External"/><Relationship Id="rId478" Type="http://schemas.openxmlformats.org/officeDocument/2006/relationships/hyperlink" Target="https://duckduckgo.com/?q=%21ducky%20striver%20takeUforward%20Max%20points%20from%20cards%20solution" TargetMode="External"/><Relationship Id="rId479" Type="http://schemas.openxmlformats.org/officeDocument/2006/relationships/hyperlink" Target="https://duckduckgo.com/?q=%21ducky%20leetcode%20Longest%20Substring%20with%20At%20Most%20K%20Distinct" TargetMode="External"/><Relationship Id="rId480" Type="http://schemas.openxmlformats.org/officeDocument/2006/relationships/hyperlink" Target="https://duckduckgo.com/?q=%21ducky%20striver%20takeUforward%20Longest%20Substring%20with%20At%20Most%20K%20Distinct%20solution" TargetMode="External"/><Relationship Id="rId481" Type="http://schemas.openxmlformats.org/officeDocument/2006/relationships/hyperlink" Target="https://duckduckgo.com/?q=%21ducky%20leetcode%20Subarrays%20with%20K%20different%20integers" TargetMode="External"/><Relationship Id="rId482" Type="http://schemas.openxmlformats.org/officeDocument/2006/relationships/hyperlink" Target="https://duckduckgo.com/?q=%21ducky%20striver%20takeUforward%20Subarrays%20with%20K%20different%20integers%20solution" TargetMode="External"/><Relationship Id="rId483" Type="http://schemas.openxmlformats.org/officeDocument/2006/relationships/hyperlink" Target="https://duckduckgo.com/?q=%21ducky%20leetcode%20Minimum%20Window%20Substring" TargetMode="External"/><Relationship Id="rId484" Type="http://schemas.openxmlformats.org/officeDocument/2006/relationships/hyperlink" Target="https://duckduckgo.com/?q=%21ducky%20striver%20takeUforward%20Minimum%20Window%20Substring%20solution" TargetMode="External"/><Relationship Id="rId485" Type="http://schemas.openxmlformats.org/officeDocument/2006/relationships/hyperlink" Target="https://duckduckgo.com/?q=%21ducky%20leetcode%20Minimum%20Window%20Subsequence" TargetMode="External"/><Relationship Id="rId486" Type="http://schemas.openxmlformats.org/officeDocument/2006/relationships/hyperlink" Target="https://duckduckgo.com/?q=%21ducky%20striver%20takeUforward%20Minimum%20Window%20Subsequence%20solution" TargetMode="External"/><Relationship Id="rId487" Type="http://schemas.openxmlformats.org/officeDocument/2006/relationships/hyperlink" Target="https://duckduckgo.com/?q=%21ducky%20leetcode%20Introduction%20to%20Priority%20Queue" TargetMode="External"/><Relationship Id="rId488" Type="http://schemas.openxmlformats.org/officeDocument/2006/relationships/hyperlink" Target="https://duckduckgo.com/?q=%21ducky%20striver%20takeUforward%20Introduction%20to%20Priority%20Queue%20solution" TargetMode="External"/><Relationship Id="rId489" Type="http://schemas.openxmlformats.org/officeDocument/2006/relationships/hyperlink" Target="https://duckduckgo.com/?q=%21ducky%20leetcode%20Min%20Heap%20%26%20Max%20Heap%20Implementation" TargetMode="External"/><Relationship Id="rId490" Type="http://schemas.openxmlformats.org/officeDocument/2006/relationships/hyperlink" Target="https://duckduckgo.com/?q=%21ducky%20striver%20takeUforward%20Min%20Heap%20%26%20Max%20Heap%20Implementation%20solution" TargetMode="External"/><Relationship Id="rId491" Type="http://schemas.openxmlformats.org/officeDocument/2006/relationships/hyperlink" Target="https://duckduckgo.com/?q=%21ducky%20leetcode%20Check%20if%20array%20represents%20min-heap" TargetMode="External"/><Relationship Id="rId492" Type="http://schemas.openxmlformats.org/officeDocument/2006/relationships/hyperlink" Target="https://duckduckgo.com/?q=%21ducky%20striver%20takeUforward%20Check%20if%20array%20represents%20min-heap%20solution" TargetMode="External"/><Relationship Id="rId493" Type="http://schemas.openxmlformats.org/officeDocument/2006/relationships/hyperlink" Target="https://duckduckgo.com/?q=%21ducky%20leetcode%20Convert%20min-heap%20to%20max-heap" TargetMode="External"/><Relationship Id="rId494" Type="http://schemas.openxmlformats.org/officeDocument/2006/relationships/hyperlink" Target="https://duckduckgo.com/?q=%21ducky%20striver%20takeUforward%20Convert%20min-heap%20to%20max-heap%20solution" TargetMode="External"/><Relationship Id="rId495" Type="http://schemas.openxmlformats.org/officeDocument/2006/relationships/hyperlink" Target="https://duckduckgo.com/?q=%21ducky%20leetcode%20Kth%20largest%20element%20in%20array" TargetMode="External"/><Relationship Id="rId496" Type="http://schemas.openxmlformats.org/officeDocument/2006/relationships/hyperlink" Target="https://duckduckgo.com/?q=%21ducky%20striver%20takeUforward%20Kth%20largest%20element%20in%20array%20solution" TargetMode="External"/><Relationship Id="rId497" Type="http://schemas.openxmlformats.org/officeDocument/2006/relationships/hyperlink" Target="https://duckduckgo.com/?q=%21ducky%20leetcode%20Kth%20smallest%20element%20in%20array" TargetMode="External"/><Relationship Id="rId498" Type="http://schemas.openxmlformats.org/officeDocument/2006/relationships/hyperlink" Target="https://duckduckgo.com/?q=%21ducky%20striver%20takeUforward%20Kth%20smallest%20element%20in%20array%20solution" TargetMode="External"/><Relationship Id="rId499" Type="http://schemas.openxmlformats.org/officeDocument/2006/relationships/hyperlink" Target="https://duckduckgo.com/?q=%21ducky%20leetcode%20Sort%20K-sorted%20%28nearly%20sorted%29%20array" TargetMode="External"/><Relationship Id="rId500" Type="http://schemas.openxmlformats.org/officeDocument/2006/relationships/hyperlink" Target="https://duckduckgo.com/?q=%21ducky%20striver%20takeUforward%20Sort%20K-sorted%20%28nearly%20sorted%29%20array%20solution" TargetMode="External"/><Relationship Id="rId501" Type="http://schemas.openxmlformats.org/officeDocument/2006/relationships/hyperlink" Target="https://duckduckgo.com/?q=%21ducky%20leetcode%20Merge%20M%20sorted%20lists" TargetMode="External"/><Relationship Id="rId502" Type="http://schemas.openxmlformats.org/officeDocument/2006/relationships/hyperlink" Target="https://duckduckgo.com/?q=%21ducky%20striver%20takeUforward%20Merge%20M%20sorted%20lists%20solution" TargetMode="External"/><Relationship Id="rId503" Type="http://schemas.openxmlformats.org/officeDocument/2006/relationships/hyperlink" Target="https://duckduckgo.com/?q=%21ducky%20leetcode%20Replace%20elements%20by%20rank" TargetMode="External"/><Relationship Id="rId504" Type="http://schemas.openxmlformats.org/officeDocument/2006/relationships/hyperlink" Target="https://duckduckgo.com/?q=%21ducky%20striver%20takeUforward%20Replace%20elements%20by%20rank%20solution" TargetMode="External"/><Relationship Id="rId505" Type="http://schemas.openxmlformats.org/officeDocument/2006/relationships/hyperlink" Target="https://duckduckgo.com/?q=%21ducky%20leetcode%20Task%20Scheduler" TargetMode="External"/><Relationship Id="rId506" Type="http://schemas.openxmlformats.org/officeDocument/2006/relationships/hyperlink" Target="https://duckduckgo.com/?q=%21ducky%20striver%20takeUforward%20Task%20Scheduler%20solution" TargetMode="External"/><Relationship Id="rId507" Type="http://schemas.openxmlformats.org/officeDocument/2006/relationships/hyperlink" Target="https://duckduckgo.com/?q=%21ducky%20leetcode%20Hands%20of%20Straights" TargetMode="External"/><Relationship Id="rId508" Type="http://schemas.openxmlformats.org/officeDocument/2006/relationships/hyperlink" Target="https://duckduckgo.com/?q=%21ducky%20striver%20takeUforward%20Hands%20of%20Straights%20solution" TargetMode="External"/><Relationship Id="rId509" Type="http://schemas.openxmlformats.org/officeDocument/2006/relationships/hyperlink" Target="https://duckduckgo.com/?q=%21ducky%20leetcode%20Design%20Twitter" TargetMode="External"/><Relationship Id="rId510" Type="http://schemas.openxmlformats.org/officeDocument/2006/relationships/hyperlink" Target="https://duckduckgo.com/?q=%21ducky%20striver%20takeUforward%20Design%20Twitter%20solution" TargetMode="External"/><Relationship Id="rId511" Type="http://schemas.openxmlformats.org/officeDocument/2006/relationships/hyperlink" Target="https://duckduckgo.com/?q=%21ducky%20leetcode%20Connect%20n%20ropes%20with%20minimal%20cost" TargetMode="External"/><Relationship Id="rId512" Type="http://schemas.openxmlformats.org/officeDocument/2006/relationships/hyperlink" Target="https://duckduckgo.com/?q=%21ducky%20striver%20takeUforward%20Connect%20n%20ropes%20with%20minimal%20cost%20solution" TargetMode="External"/><Relationship Id="rId513" Type="http://schemas.openxmlformats.org/officeDocument/2006/relationships/hyperlink" Target="https://duckduckgo.com/?q=%21ducky%20leetcode%20Kth%20largest%20in%20a%20stream" TargetMode="External"/><Relationship Id="rId514" Type="http://schemas.openxmlformats.org/officeDocument/2006/relationships/hyperlink" Target="https://duckduckgo.com/?q=%21ducky%20striver%20takeUforward%20Kth%20largest%20in%20a%20stream%20solution" TargetMode="External"/><Relationship Id="rId515" Type="http://schemas.openxmlformats.org/officeDocument/2006/relationships/hyperlink" Target="https://duckduckgo.com/?q=%21ducky%20leetcode%20Maximum%20Sum%20Combination" TargetMode="External"/><Relationship Id="rId516" Type="http://schemas.openxmlformats.org/officeDocument/2006/relationships/hyperlink" Target="https://duckduckgo.com/?q=%21ducky%20striver%20takeUforward%20Maximum%20Sum%20Combination%20solution" TargetMode="External"/><Relationship Id="rId517" Type="http://schemas.openxmlformats.org/officeDocument/2006/relationships/hyperlink" Target="https://duckduckgo.com/?q=%21ducky%20leetcode%20Find%20Median%20from%20Data%20Stream" TargetMode="External"/><Relationship Id="rId518" Type="http://schemas.openxmlformats.org/officeDocument/2006/relationships/hyperlink" Target="https://duckduckgo.com/?q=%21ducky%20striver%20takeUforward%20Find%20Median%20from%20Data%20Stream%20solution" TargetMode="External"/><Relationship Id="rId519" Type="http://schemas.openxmlformats.org/officeDocument/2006/relationships/hyperlink" Target="https://duckduckgo.com/?q=%21ducky%20leetcode%20K%20most%20frequent%20elements" TargetMode="External"/><Relationship Id="rId520" Type="http://schemas.openxmlformats.org/officeDocument/2006/relationships/hyperlink" Target="https://duckduckgo.com/?q=%21ducky%20striver%20takeUforward%20K%20most%20frequent%20elements%20solution" TargetMode="External"/><Relationship Id="rId521" Type="http://schemas.openxmlformats.org/officeDocument/2006/relationships/hyperlink" Target="https://duckduckgo.com/?q=%21ducky%20leetcode%20Assign%20Cookies" TargetMode="External"/><Relationship Id="rId522" Type="http://schemas.openxmlformats.org/officeDocument/2006/relationships/hyperlink" Target="https://duckduckgo.com/?q=%21ducky%20striver%20takeUforward%20Assign%20Cookies%20solution" TargetMode="External"/><Relationship Id="rId523" Type="http://schemas.openxmlformats.org/officeDocument/2006/relationships/hyperlink" Target="https://duckduckgo.com/?q=%21ducky%20leetcode%20Fractional%20Knapsack" TargetMode="External"/><Relationship Id="rId524" Type="http://schemas.openxmlformats.org/officeDocument/2006/relationships/hyperlink" Target="https://duckduckgo.com/?q=%21ducky%20striver%20takeUforward%20Fractional%20Knapsack%20solution" TargetMode="External"/><Relationship Id="rId525" Type="http://schemas.openxmlformats.org/officeDocument/2006/relationships/hyperlink" Target="https://duckduckgo.com/?q=%21ducky%20leetcode%20Minimum%20coins%20%28greedy%29" TargetMode="External"/><Relationship Id="rId526" Type="http://schemas.openxmlformats.org/officeDocument/2006/relationships/hyperlink" Target="https://duckduckgo.com/?q=%21ducky%20striver%20takeUforward%20Minimum%20coins%20%28greedy%29%20solution" TargetMode="External"/><Relationship Id="rId527" Type="http://schemas.openxmlformats.org/officeDocument/2006/relationships/hyperlink" Target="https://duckduckgo.com/?q=%21ducky%20leetcode%20Lemonade%20Change" TargetMode="External"/><Relationship Id="rId528" Type="http://schemas.openxmlformats.org/officeDocument/2006/relationships/hyperlink" Target="https://duckduckgo.com/?q=%21ducky%20striver%20takeUforward%20Lemonade%20Change%20solution" TargetMode="External"/><Relationship Id="rId529" Type="http://schemas.openxmlformats.org/officeDocument/2006/relationships/hyperlink" Target="https://duckduckgo.com/?q=%21ducky%20leetcode%20Valid%20Parenthesis%20String" TargetMode="External"/><Relationship Id="rId530" Type="http://schemas.openxmlformats.org/officeDocument/2006/relationships/hyperlink" Target="https://duckduckgo.com/?q=%21ducky%20striver%20takeUforward%20Valid%20Parenthesis%20String%20solution" TargetMode="External"/><Relationship Id="rId531" Type="http://schemas.openxmlformats.org/officeDocument/2006/relationships/hyperlink" Target="https://duckduckgo.com/?q=%21ducky%20leetcode%20N%20meetings%20in%20one%20room" TargetMode="External"/><Relationship Id="rId532" Type="http://schemas.openxmlformats.org/officeDocument/2006/relationships/hyperlink" Target="https://duckduckgo.com/?q=%21ducky%20striver%20takeUforward%20N%20meetings%20in%20one%20room%20solution" TargetMode="External"/><Relationship Id="rId533" Type="http://schemas.openxmlformats.org/officeDocument/2006/relationships/hyperlink" Target="https://duckduckgo.com/?q=%21ducky%20leetcode%20Jump%20Game" TargetMode="External"/><Relationship Id="rId534" Type="http://schemas.openxmlformats.org/officeDocument/2006/relationships/hyperlink" Target="https://duckduckgo.com/?q=%21ducky%20striver%20takeUforward%20Jump%20Game%20solution" TargetMode="External"/><Relationship Id="rId535" Type="http://schemas.openxmlformats.org/officeDocument/2006/relationships/hyperlink" Target="https://duckduckgo.com/?q=%21ducky%20leetcode%20Jump%20Game%20II" TargetMode="External"/><Relationship Id="rId536" Type="http://schemas.openxmlformats.org/officeDocument/2006/relationships/hyperlink" Target="https://duckduckgo.com/?q=%21ducky%20striver%20takeUforward%20Jump%20Game%20II%20solution" TargetMode="External"/><Relationship Id="rId537" Type="http://schemas.openxmlformats.org/officeDocument/2006/relationships/hyperlink" Target="https://duckduckgo.com/?q=%21ducky%20leetcode%20Minimum%20number%20of%20platforms" TargetMode="External"/><Relationship Id="rId538" Type="http://schemas.openxmlformats.org/officeDocument/2006/relationships/hyperlink" Target="https://duckduckgo.com/?q=%21ducky%20striver%20takeUforward%20Minimum%20number%20of%20platforms%20solution" TargetMode="External"/><Relationship Id="rId539" Type="http://schemas.openxmlformats.org/officeDocument/2006/relationships/hyperlink" Target="https://duckduckgo.com/?q=%21ducky%20leetcode%20Job%20Sequencing%20Problem" TargetMode="External"/><Relationship Id="rId540" Type="http://schemas.openxmlformats.org/officeDocument/2006/relationships/hyperlink" Target="https://duckduckgo.com/?q=%21ducky%20striver%20takeUforward%20Job%20Sequencing%20Problem%20solution" TargetMode="External"/><Relationship Id="rId541" Type="http://schemas.openxmlformats.org/officeDocument/2006/relationships/hyperlink" Target="https://duckduckgo.com/?q=%21ducky%20leetcode%20Candy" TargetMode="External"/><Relationship Id="rId542" Type="http://schemas.openxmlformats.org/officeDocument/2006/relationships/hyperlink" Target="https://duckduckgo.com/?q=%21ducky%20striver%20takeUforward%20Candy%20solution" TargetMode="External"/><Relationship Id="rId543" Type="http://schemas.openxmlformats.org/officeDocument/2006/relationships/hyperlink" Target="https://duckduckgo.com/?q=%21ducky%20leetcode%20Shortest%20Job%20First%20%28SJF%29" TargetMode="External"/><Relationship Id="rId544" Type="http://schemas.openxmlformats.org/officeDocument/2006/relationships/hyperlink" Target="https://duckduckgo.com/?q=%21ducky%20striver%20takeUforward%20Shortest%20Job%20First%20%28SJF%29%20solution" TargetMode="External"/><Relationship Id="rId545" Type="http://schemas.openxmlformats.org/officeDocument/2006/relationships/hyperlink" Target="https://duckduckgo.com/?q=%21ducky%20leetcode%20Page%20Faults%20in%20LRU" TargetMode="External"/><Relationship Id="rId546" Type="http://schemas.openxmlformats.org/officeDocument/2006/relationships/hyperlink" Target="https://duckduckgo.com/?q=%21ducky%20striver%20takeUforward%20Page%20Faults%20in%20LRU%20solution" TargetMode="External"/><Relationship Id="rId547" Type="http://schemas.openxmlformats.org/officeDocument/2006/relationships/hyperlink" Target="https://duckduckgo.com/?q=%21ducky%20leetcode%20Insert%20Interval" TargetMode="External"/><Relationship Id="rId548" Type="http://schemas.openxmlformats.org/officeDocument/2006/relationships/hyperlink" Target="https://duckduckgo.com/?q=%21ducky%20striver%20takeUforward%20Insert%20Interval%20solution" TargetMode="External"/><Relationship Id="rId549" Type="http://schemas.openxmlformats.org/officeDocument/2006/relationships/hyperlink" Target="https://duckduckgo.com/?q=%21ducky%20leetcode%20Merge%20Intervals" TargetMode="External"/><Relationship Id="rId550" Type="http://schemas.openxmlformats.org/officeDocument/2006/relationships/hyperlink" Target="https://duckduckgo.com/?q=%21ducky%20striver%20takeUforward%20Merge%20Intervals%20solution" TargetMode="External"/><Relationship Id="rId551" Type="http://schemas.openxmlformats.org/officeDocument/2006/relationships/hyperlink" Target="https://duckduckgo.com/?q=%21ducky%20leetcode%20Non-overlapping%20Intervals" TargetMode="External"/><Relationship Id="rId552" Type="http://schemas.openxmlformats.org/officeDocument/2006/relationships/hyperlink" Target="https://duckduckgo.com/?q=%21ducky%20striver%20takeUforward%20Non-overlapping%20Intervals%20solution" TargetMode="External"/><Relationship Id="rId553" Type="http://schemas.openxmlformats.org/officeDocument/2006/relationships/hyperlink" Target="https://duckduckgo.com/?q=%21ducky%20leetcode%20Introduction%20to%20Trees" TargetMode="External"/><Relationship Id="rId554" Type="http://schemas.openxmlformats.org/officeDocument/2006/relationships/hyperlink" Target="https://duckduckgo.com/?q=%21ducky%20striver%20takeUforward%20Introduction%20to%20Trees%20solution" TargetMode="External"/><Relationship Id="rId555" Type="http://schemas.openxmlformats.org/officeDocument/2006/relationships/hyperlink" Target="https://duckduckgo.com/?q=%21ducky%20leetcode%20Binary%20Tree%20Representation" TargetMode="External"/><Relationship Id="rId556" Type="http://schemas.openxmlformats.org/officeDocument/2006/relationships/hyperlink" Target="https://duckduckgo.com/?q=%21ducky%20striver%20takeUforward%20Binary%20Tree%20Representation%20solution" TargetMode="External"/><Relationship Id="rId557" Type="http://schemas.openxmlformats.org/officeDocument/2006/relationships/hyperlink" Target="https://duckduckgo.com/?q=%21ducky%20leetcode%20Binary%20Tree%20Traversals%20%28theory%29" TargetMode="External"/><Relationship Id="rId558" Type="http://schemas.openxmlformats.org/officeDocument/2006/relationships/hyperlink" Target="https://duckduckgo.com/?q=%21ducky%20striver%20takeUforward%20Binary%20Tree%20Traversals%20%28theory%29%20solution" TargetMode="External"/><Relationship Id="rId559" Type="http://schemas.openxmlformats.org/officeDocument/2006/relationships/hyperlink" Target="https://duckduckgo.com/?q=%21ducky%20leetcode%20Preorder%20Traversal" TargetMode="External"/><Relationship Id="rId560" Type="http://schemas.openxmlformats.org/officeDocument/2006/relationships/hyperlink" Target="https://duckduckgo.com/?q=%21ducky%20striver%20takeUforward%20Preorder%20Traversal%20solution" TargetMode="External"/><Relationship Id="rId561" Type="http://schemas.openxmlformats.org/officeDocument/2006/relationships/hyperlink" Target="https://duckduckgo.com/?q=%21ducky%20leetcode%20Inorder%20Traversal" TargetMode="External"/><Relationship Id="rId562" Type="http://schemas.openxmlformats.org/officeDocument/2006/relationships/hyperlink" Target="https://duckduckgo.com/?q=%21ducky%20striver%20takeUforward%20Inorder%20Traversal%20solution" TargetMode="External"/><Relationship Id="rId563" Type="http://schemas.openxmlformats.org/officeDocument/2006/relationships/hyperlink" Target="https://duckduckgo.com/?q=%21ducky%20leetcode%20Postorder%20Traversal" TargetMode="External"/><Relationship Id="rId564" Type="http://schemas.openxmlformats.org/officeDocument/2006/relationships/hyperlink" Target="https://duckduckgo.com/?q=%21ducky%20striver%20takeUforward%20Postorder%20Traversal%20solution" TargetMode="External"/><Relationship Id="rId565" Type="http://schemas.openxmlformats.org/officeDocument/2006/relationships/hyperlink" Target="https://duckduckgo.com/?q=%21ducky%20leetcode%20Level%20Order%20Traversal" TargetMode="External"/><Relationship Id="rId566" Type="http://schemas.openxmlformats.org/officeDocument/2006/relationships/hyperlink" Target="https://duckduckgo.com/?q=%21ducky%20striver%20takeUforward%20Level%20Order%20Traversal%20solution" TargetMode="External"/><Relationship Id="rId567" Type="http://schemas.openxmlformats.org/officeDocument/2006/relationships/hyperlink" Target="https://duckduckgo.com/?q=%21ducky%20leetcode%20Iterative%20Preorder" TargetMode="External"/><Relationship Id="rId568" Type="http://schemas.openxmlformats.org/officeDocument/2006/relationships/hyperlink" Target="https://duckduckgo.com/?q=%21ducky%20striver%20takeUforward%20Iterative%20Preorder%20solution" TargetMode="External"/><Relationship Id="rId569" Type="http://schemas.openxmlformats.org/officeDocument/2006/relationships/hyperlink" Target="https://duckduckgo.com/?q=%21ducky%20leetcode%20Iterative%20Inorder" TargetMode="External"/><Relationship Id="rId570" Type="http://schemas.openxmlformats.org/officeDocument/2006/relationships/hyperlink" Target="https://duckduckgo.com/?q=%21ducky%20striver%20takeUforward%20Iterative%20Inorder%20solution" TargetMode="External"/><Relationship Id="rId571" Type="http://schemas.openxmlformats.org/officeDocument/2006/relationships/hyperlink" Target="https://duckduckgo.com/?q=%21ducky%20leetcode%20Iterative%20Postorder%20%282%20stacks%29" TargetMode="External"/><Relationship Id="rId572" Type="http://schemas.openxmlformats.org/officeDocument/2006/relationships/hyperlink" Target="https://duckduckgo.com/?q=%21ducky%20striver%20takeUforward%20Iterative%20Postorder%20%282%20stacks%29%20solution" TargetMode="External"/><Relationship Id="rId573" Type="http://schemas.openxmlformats.org/officeDocument/2006/relationships/hyperlink" Target="https://duckduckgo.com/?q=%21ducky%20leetcode%20Iterative%20Postorder%20%281%20stack%29" TargetMode="External"/><Relationship Id="rId574" Type="http://schemas.openxmlformats.org/officeDocument/2006/relationships/hyperlink" Target="https://duckduckgo.com/?q=%21ducky%20striver%20takeUforward%20Iterative%20Postorder%20%281%20stack%29%20solution" TargetMode="External"/><Relationship Id="rId575" Type="http://schemas.openxmlformats.org/officeDocument/2006/relationships/hyperlink" Target="https://duckduckgo.com/?q=%21ducky%20leetcode%20Pre/In/Post%20in%20one%20traversal" TargetMode="External"/><Relationship Id="rId576" Type="http://schemas.openxmlformats.org/officeDocument/2006/relationships/hyperlink" Target="https://duckduckgo.com/?q=%21ducky%20striver%20takeUforward%20Pre/In/Post%20in%20one%20traversal%20solution" TargetMode="External"/><Relationship Id="rId577" Type="http://schemas.openxmlformats.org/officeDocument/2006/relationships/hyperlink" Target="https://duckduckgo.com/?q=%21ducky%20leetcode%20Maximum%20Depth%20/%20Height" TargetMode="External"/><Relationship Id="rId578" Type="http://schemas.openxmlformats.org/officeDocument/2006/relationships/hyperlink" Target="https://duckduckgo.com/?q=%21ducky%20striver%20takeUforward%20Maximum%20Depth%20/%20Height%20solution" TargetMode="External"/><Relationship Id="rId579" Type="http://schemas.openxmlformats.org/officeDocument/2006/relationships/hyperlink" Target="https://duckduckgo.com/?q=%21ducky%20leetcode%20Check%20for%20Balanced%20Binary%20Tree" TargetMode="External"/><Relationship Id="rId580" Type="http://schemas.openxmlformats.org/officeDocument/2006/relationships/hyperlink" Target="https://duckduckgo.com/?q=%21ducky%20striver%20takeUforward%20Check%20for%20Balanced%20Binary%20Tree%20solution" TargetMode="External"/><Relationship Id="rId581" Type="http://schemas.openxmlformats.org/officeDocument/2006/relationships/hyperlink" Target="https://duckduckgo.com/?q=%21ducky%20leetcode%20Diameter%20of%20Binary%20Tree" TargetMode="External"/><Relationship Id="rId582" Type="http://schemas.openxmlformats.org/officeDocument/2006/relationships/hyperlink" Target="https://duckduckgo.com/?q=%21ducky%20striver%20takeUforward%20Diameter%20of%20Binary%20Tree%20solution" TargetMode="External"/><Relationship Id="rId583" Type="http://schemas.openxmlformats.org/officeDocument/2006/relationships/hyperlink" Target="https://duckduckgo.com/?q=%21ducky%20leetcode%20Maximum%20Path%20Sum" TargetMode="External"/><Relationship Id="rId584" Type="http://schemas.openxmlformats.org/officeDocument/2006/relationships/hyperlink" Target="https://duckduckgo.com/?q=%21ducky%20striver%20takeUforward%20Maximum%20Path%20Sum%20solution" TargetMode="External"/><Relationship Id="rId585" Type="http://schemas.openxmlformats.org/officeDocument/2006/relationships/hyperlink" Target="https://duckduckgo.com/?q=%21ducky%20leetcode%20Check%20if%20two%20trees%20are%20identical" TargetMode="External"/><Relationship Id="rId586" Type="http://schemas.openxmlformats.org/officeDocument/2006/relationships/hyperlink" Target="https://duckduckgo.com/?q=%21ducky%20striver%20takeUforward%20Check%20if%20two%20trees%20are%20identical%20solution" TargetMode="External"/><Relationship Id="rId587" Type="http://schemas.openxmlformats.org/officeDocument/2006/relationships/hyperlink" Target="https://duckduckgo.com/?q=%21ducky%20leetcode%20Zigzag%20/%20Spiral%20Traversal" TargetMode="External"/><Relationship Id="rId588" Type="http://schemas.openxmlformats.org/officeDocument/2006/relationships/hyperlink" Target="https://duckduckgo.com/?q=%21ducky%20striver%20takeUforward%20Zigzag%20/%20Spiral%20Traversal%20solution" TargetMode="External"/><Relationship Id="rId589" Type="http://schemas.openxmlformats.org/officeDocument/2006/relationships/hyperlink" Target="https://duckduckgo.com/?q=%21ducky%20leetcode%20Boundary%20Traversal" TargetMode="External"/><Relationship Id="rId590" Type="http://schemas.openxmlformats.org/officeDocument/2006/relationships/hyperlink" Target="https://duckduckgo.com/?q=%21ducky%20striver%20takeUforward%20Boundary%20Traversal%20solution" TargetMode="External"/><Relationship Id="rId591" Type="http://schemas.openxmlformats.org/officeDocument/2006/relationships/hyperlink" Target="https://duckduckgo.com/?q=%21ducky%20leetcode%20Vertical%20Order%20Traversal" TargetMode="External"/><Relationship Id="rId592" Type="http://schemas.openxmlformats.org/officeDocument/2006/relationships/hyperlink" Target="https://duckduckgo.com/?q=%21ducky%20striver%20takeUforward%20Vertical%20Order%20Traversal%20solution" TargetMode="External"/><Relationship Id="rId593" Type="http://schemas.openxmlformats.org/officeDocument/2006/relationships/hyperlink" Target="https://duckduckgo.com/?q=%21ducky%20leetcode%20Top%20View%20of%20Binary%20Tree" TargetMode="External"/><Relationship Id="rId594" Type="http://schemas.openxmlformats.org/officeDocument/2006/relationships/hyperlink" Target="https://duckduckgo.com/?q=%21ducky%20striver%20takeUforward%20Top%20View%20of%20Binary%20Tree%20solution" TargetMode="External"/><Relationship Id="rId595" Type="http://schemas.openxmlformats.org/officeDocument/2006/relationships/hyperlink" Target="https://duckduckgo.com/?q=%21ducky%20leetcode%20Bottom%20View%20of%20Binary%20Tree" TargetMode="External"/><Relationship Id="rId596" Type="http://schemas.openxmlformats.org/officeDocument/2006/relationships/hyperlink" Target="https://duckduckgo.com/?q=%21ducky%20striver%20takeUforward%20Bottom%20View%20of%20Binary%20Tree%20solution" TargetMode="External"/><Relationship Id="rId597" Type="http://schemas.openxmlformats.org/officeDocument/2006/relationships/hyperlink" Target="https://duckduckgo.com/?q=%21ducky%20leetcode%20Right/Left%20View%20of%20Binary%20Tree" TargetMode="External"/><Relationship Id="rId598" Type="http://schemas.openxmlformats.org/officeDocument/2006/relationships/hyperlink" Target="https://duckduckgo.com/?q=%21ducky%20striver%20takeUforward%20Right/Left%20View%20of%20Binary%20Tree%20solution" TargetMode="External"/><Relationship Id="rId599" Type="http://schemas.openxmlformats.org/officeDocument/2006/relationships/hyperlink" Target="https://duckduckgo.com/?q=%21ducky%20leetcode%20Symmetric%20Binary%20Tree" TargetMode="External"/><Relationship Id="rId600" Type="http://schemas.openxmlformats.org/officeDocument/2006/relationships/hyperlink" Target="https://duckduckgo.com/?q=%21ducky%20striver%20takeUforward%20Symmetric%20Binary%20Tree%20solution" TargetMode="External"/><Relationship Id="rId601" Type="http://schemas.openxmlformats.org/officeDocument/2006/relationships/hyperlink" Target="https://duckduckgo.com/?q=%21ducky%20leetcode%20Children%20Sum%20Property" TargetMode="External"/><Relationship Id="rId602" Type="http://schemas.openxmlformats.org/officeDocument/2006/relationships/hyperlink" Target="https://duckduckgo.com/?q=%21ducky%20striver%20takeUforward%20Children%20Sum%20Property%20solution" TargetMode="External"/><Relationship Id="rId603" Type="http://schemas.openxmlformats.org/officeDocument/2006/relationships/hyperlink" Target="https://duckduckgo.com/?q=%21ducky%20leetcode%20Root%20to%20Node%20Path" TargetMode="External"/><Relationship Id="rId604" Type="http://schemas.openxmlformats.org/officeDocument/2006/relationships/hyperlink" Target="https://duckduckgo.com/?q=%21ducky%20striver%20takeUforward%20Root%20to%20Node%20Path%20solution" TargetMode="External"/><Relationship Id="rId605" Type="http://schemas.openxmlformats.org/officeDocument/2006/relationships/hyperlink" Target="https://duckduckgo.com/?q=%21ducky%20leetcode%20LCA%20in%20Binary%20Tree" TargetMode="External"/><Relationship Id="rId606" Type="http://schemas.openxmlformats.org/officeDocument/2006/relationships/hyperlink" Target="https://duckduckgo.com/?q=%21ducky%20striver%20takeUforward%20LCA%20in%20Binary%20Tree%20solution" TargetMode="External"/><Relationship Id="rId607" Type="http://schemas.openxmlformats.org/officeDocument/2006/relationships/hyperlink" Target="https://duckduckgo.com/?q=%21ducky%20leetcode%20Maximum%20width%20of%20Binary%20Tree" TargetMode="External"/><Relationship Id="rId608" Type="http://schemas.openxmlformats.org/officeDocument/2006/relationships/hyperlink" Target="https://duckduckgo.com/?q=%21ducky%20striver%20takeUforward%20Maximum%20width%20of%20Binary%20Tree%20solution" TargetMode="External"/><Relationship Id="rId609" Type="http://schemas.openxmlformats.org/officeDocument/2006/relationships/hyperlink" Target="https://duckduckgo.com/?q=%21ducky%20leetcode%20Print%20all%20nodes%20at%20distance%20K" TargetMode="External"/><Relationship Id="rId610" Type="http://schemas.openxmlformats.org/officeDocument/2006/relationships/hyperlink" Target="https://duckduckgo.com/?q=%21ducky%20striver%20takeUforward%20Print%20all%20nodes%20at%20distance%20K%20solution" TargetMode="External"/><Relationship Id="rId611" Type="http://schemas.openxmlformats.org/officeDocument/2006/relationships/hyperlink" Target="https://duckduckgo.com/?q=%21ducky%20leetcode%20Minimum%20time%20to%20burn%20the%20tree" TargetMode="External"/><Relationship Id="rId612" Type="http://schemas.openxmlformats.org/officeDocument/2006/relationships/hyperlink" Target="https://duckduckgo.com/?q=%21ducky%20striver%20takeUforward%20Minimum%20time%20to%20burn%20the%20tree%20solution" TargetMode="External"/><Relationship Id="rId613" Type="http://schemas.openxmlformats.org/officeDocument/2006/relationships/hyperlink" Target="https://duckduckgo.com/?q=%21ducky%20leetcode%20Count%20nodes%20in%20Complete%20Binary%20Tree" TargetMode="External"/><Relationship Id="rId614" Type="http://schemas.openxmlformats.org/officeDocument/2006/relationships/hyperlink" Target="https://duckduckgo.com/?q=%21ducky%20striver%20takeUforward%20Count%20nodes%20in%20Complete%20Binary%20Tree%20solution" TargetMode="External"/><Relationship Id="rId615" Type="http://schemas.openxmlformats.org/officeDocument/2006/relationships/hyperlink" Target="https://duckduckgo.com/?q=%21ducky%20leetcode%20Requirements%20for%20unique%20BT" TargetMode="External"/><Relationship Id="rId616" Type="http://schemas.openxmlformats.org/officeDocument/2006/relationships/hyperlink" Target="https://duckduckgo.com/?q=%21ducky%20striver%20takeUforward%20Requirements%20for%20unique%20BT%20solution" TargetMode="External"/><Relationship Id="rId617" Type="http://schemas.openxmlformats.org/officeDocument/2006/relationships/hyperlink" Target="https://duckduckgo.com/?q=%21ducky%20leetcode%20Construct%20BT%20from%20Preorder%20%26%20Inorder" TargetMode="External"/><Relationship Id="rId618" Type="http://schemas.openxmlformats.org/officeDocument/2006/relationships/hyperlink" Target="https://duckduckgo.com/?q=%21ducky%20striver%20takeUforward%20Construct%20BT%20from%20Preorder%20%26%20Inorder%20solution" TargetMode="External"/><Relationship Id="rId619" Type="http://schemas.openxmlformats.org/officeDocument/2006/relationships/hyperlink" Target="https://duckduckgo.com/?q=%21ducky%20leetcode%20Construct%20BT%20from%20Postorder%20%26%20Inorder" TargetMode="External"/><Relationship Id="rId620" Type="http://schemas.openxmlformats.org/officeDocument/2006/relationships/hyperlink" Target="https://duckduckgo.com/?q=%21ducky%20striver%20takeUforward%20Construct%20BT%20from%20Postorder%20%26%20Inorder%20solution" TargetMode="External"/><Relationship Id="rId621" Type="http://schemas.openxmlformats.org/officeDocument/2006/relationships/hyperlink" Target="https://duckduckgo.com/?q=%21ducky%20leetcode%20Serialize%20and%20Deserialize%20Binary%20Tree" TargetMode="External"/><Relationship Id="rId622" Type="http://schemas.openxmlformats.org/officeDocument/2006/relationships/hyperlink" Target="https://duckduckgo.com/?q=%21ducky%20striver%20takeUforward%20Serialize%20and%20Deserialize%20Binary%20Tree%20solution" TargetMode="External"/><Relationship Id="rId623" Type="http://schemas.openxmlformats.org/officeDocument/2006/relationships/hyperlink" Target="https://duckduckgo.com/?q=%21ducky%20leetcode%20Morris%20Preorder%20Traversal" TargetMode="External"/><Relationship Id="rId624" Type="http://schemas.openxmlformats.org/officeDocument/2006/relationships/hyperlink" Target="https://duckduckgo.com/?q=%21ducky%20striver%20takeUforward%20Morris%20Preorder%20Traversal%20solution" TargetMode="External"/><Relationship Id="rId625" Type="http://schemas.openxmlformats.org/officeDocument/2006/relationships/hyperlink" Target="https://duckduckgo.com/?q=%21ducky%20leetcode%20Morris%20Inorder%20Traversal" TargetMode="External"/><Relationship Id="rId626" Type="http://schemas.openxmlformats.org/officeDocument/2006/relationships/hyperlink" Target="https://duckduckgo.com/?q=%21ducky%20striver%20takeUforward%20Morris%20Inorder%20Traversal%20solution" TargetMode="External"/><Relationship Id="rId627" Type="http://schemas.openxmlformats.org/officeDocument/2006/relationships/hyperlink" Target="https://duckduckgo.com/?q=%21ducky%20leetcode%20Flatten%20Binary%20Tree%20to%20LinkedList" TargetMode="External"/><Relationship Id="rId628" Type="http://schemas.openxmlformats.org/officeDocument/2006/relationships/hyperlink" Target="https://duckduckgo.com/?q=%21ducky%20striver%20takeUforward%20Flatten%20Binary%20Tree%20to%20LinkedList%20solution" TargetMode="External"/><Relationship Id="rId629" Type="http://schemas.openxmlformats.org/officeDocument/2006/relationships/hyperlink" Target="https://duckduckgo.com/?q=%21ducky%20leetcode%20Symmetric%20/%20mirror%20check" TargetMode="External"/><Relationship Id="rId630" Type="http://schemas.openxmlformats.org/officeDocument/2006/relationships/hyperlink" Target="https://duckduckgo.com/?q=%21ducky%20striver%20takeUforward%20Symmetric%20/%20mirror%20check%20solution" TargetMode="External"/><Relationship Id="rId631" Type="http://schemas.openxmlformats.org/officeDocument/2006/relationships/hyperlink" Target="https://duckduckgo.com/?q=%21ducky%20leetcode%20Introduction%20to%20BST" TargetMode="External"/><Relationship Id="rId632" Type="http://schemas.openxmlformats.org/officeDocument/2006/relationships/hyperlink" Target="https://duckduckgo.com/?q=%21ducky%20striver%20takeUforward%20Introduction%20to%20BST%20solution" TargetMode="External"/><Relationship Id="rId633" Type="http://schemas.openxmlformats.org/officeDocument/2006/relationships/hyperlink" Target="https://duckduckgo.com/?q=%21ducky%20leetcode%20Search%20in%20a%20BST" TargetMode="External"/><Relationship Id="rId634" Type="http://schemas.openxmlformats.org/officeDocument/2006/relationships/hyperlink" Target="https://duckduckgo.com/?q=%21ducky%20striver%20takeUforward%20Search%20in%20a%20BST%20solution" TargetMode="External"/><Relationship Id="rId635" Type="http://schemas.openxmlformats.org/officeDocument/2006/relationships/hyperlink" Target="https://duckduckgo.com/?q=%21ducky%20leetcode%20Find%20Min/Max%20in%20BST" TargetMode="External"/><Relationship Id="rId636" Type="http://schemas.openxmlformats.org/officeDocument/2006/relationships/hyperlink" Target="https://duckduckgo.com/?q=%21ducky%20striver%20takeUforward%20Find%20Min/Max%20in%20BST%20solution" TargetMode="External"/><Relationship Id="rId637" Type="http://schemas.openxmlformats.org/officeDocument/2006/relationships/hyperlink" Target="https://duckduckgo.com/?q=%21ducky%20leetcode%20Ceil%20in%20a%20BST" TargetMode="External"/><Relationship Id="rId638" Type="http://schemas.openxmlformats.org/officeDocument/2006/relationships/hyperlink" Target="https://duckduckgo.com/?q=%21ducky%20striver%20takeUforward%20Ceil%20in%20a%20BST%20solution" TargetMode="External"/><Relationship Id="rId639" Type="http://schemas.openxmlformats.org/officeDocument/2006/relationships/hyperlink" Target="https://duckduckgo.com/?q=%21ducky%20leetcode%20Floor%20in%20a%20BST" TargetMode="External"/><Relationship Id="rId640" Type="http://schemas.openxmlformats.org/officeDocument/2006/relationships/hyperlink" Target="https://duckduckgo.com/?q=%21ducky%20striver%20takeUforward%20Floor%20in%20a%20BST%20solution" TargetMode="External"/><Relationship Id="rId641" Type="http://schemas.openxmlformats.org/officeDocument/2006/relationships/hyperlink" Target="https://duckduckgo.com/?q=%21ducky%20leetcode%20Insert%20a%20node%20in%20BST" TargetMode="External"/><Relationship Id="rId642" Type="http://schemas.openxmlformats.org/officeDocument/2006/relationships/hyperlink" Target="https://duckduckgo.com/?q=%21ducky%20striver%20takeUforward%20Insert%20a%20node%20in%20BST%20solution" TargetMode="External"/><Relationship Id="rId643" Type="http://schemas.openxmlformats.org/officeDocument/2006/relationships/hyperlink" Target="https://duckduckgo.com/?q=%21ducky%20leetcode%20Delete%20a%20node%20in%20BST" TargetMode="External"/><Relationship Id="rId644" Type="http://schemas.openxmlformats.org/officeDocument/2006/relationships/hyperlink" Target="https://duckduckgo.com/?q=%21ducky%20striver%20takeUforward%20Delete%20a%20node%20in%20BST%20solution" TargetMode="External"/><Relationship Id="rId645" Type="http://schemas.openxmlformats.org/officeDocument/2006/relationships/hyperlink" Target="https://duckduckgo.com/?q=%21ducky%20leetcode%20Kth%20smallest/largest%20in%20BST" TargetMode="External"/><Relationship Id="rId646" Type="http://schemas.openxmlformats.org/officeDocument/2006/relationships/hyperlink" Target="https://duckduckgo.com/?q=%21ducky%20striver%20takeUforward%20Kth%20smallest/largest%20in%20BST%20solution" TargetMode="External"/><Relationship Id="rId647" Type="http://schemas.openxmlformats.org/officeDocument/2006/relationships/hyperlink" Target="https://duckduckgo.com/?q=%21ducky%20leetcode%20Check%20if%20a%20tree%20is%20a%20BST" TargetMode="External"/><Relationship Id="rId648" Type="http://schemas.openxmlformats.org/officeDocument/2006/relationships/hyperlink" Target="https://duckduckgo.com/?q=%21ducky%20striver%20takeUforward%20Check%20if%20a%20tree%20is%20a%20BST%20solution" TargetMode="External"/><Relationship Id="rId649" Type="http://schemas.openxmlformats.org/officeDocument/2006/relationships/hyperlink" Target="https://duckduckgo.com/?q=%21ducky%20leetcode%20LCA%20in%20BST" TargetMode="External"/><Relationship Id="rId650" Type="http://schemas.openxmlformats.org/officeDocument/2006/relationships/hyperlink" Target="https://duckduckgo.com/?q=%21ducky%20striver%20takeUforward%20LCA%20in%20BST%20solution" TargetMode="External"/><Relationship Id="rId651" Type="http://schemas.openxmlformats.org/officeDocument/2006/relationships/hyperlink" Target="https://duckduckgo.com/?q=%21ducky%20leetcode%20Construct%20BST%20from%20preorder" TargetMode="External"/><Relationship Id="rId652" Type="http://schemas.openxmlformats.org/officeDocument/2006/relationships/hyperlink" Target="https://duckduckgo.com/?q=%21ducky%20striver%20takeUforward%20Construct%20BST%20from%20preorder%20solution" TargetMode="External"/><Relationship Id="rId653" Type="http://schemas.openxmlformats.org/officeDocument/2006/relationships/hyperlink" Target="https://duckduckgo.com/?q=%21ducky%20leetcode%20Inorder%20Successor/Predecessor" TargetMode="External"/><Relationship Id="rId654" Type="http://schemas.openxmlformats.org/officeDocument/2006/relationships/hyperlink" Target="https://duckduckgo.com/?q=%21ducky%20striver%20takeUforward%20Inorder%20Successor/Predecessor%20solution" TargetMode="External"/><Relationship Id="rId655" Type="http://schemas.openxmlformats.org/officeDocument/2006/relationships/hyperlink" Target="https://duckduckgo.com/?q=%21ducky%20leetcode%20BST%20Iterator" TargetMode="External"/><Relationship Id="rId656" Type="http://schemas.openxmlformats.org/officeDocument/2006/relationships/hyperlink" Target="https://duckduckgo.com/?q=%21ducky%20striver%20takeUforward%20BST%20Iterator%20solution" TargetMode="External"/><Relationship Id="rId657" Type="http://schemas.openxmlformats.org/officeDocument/2006/relationships/hyperlink" Target="https://duckduckgo.com/?q=%21ducky%20leetcode%20Two%20Sum%20in%20BST" TargetMode="External"/><Relationship Id="rId658" Type="http://schemas.openxmlformats.org/officeDocument/2006/relationships/hyperlink" Target="https://duckduckgo.com/?q=%21ducky%20striver%20takeUforward%20Two%20Sum%20in%20BST%20solution" TargetMode="External"/><Relationship Id="rId659" Type="http://schemas.openxmlformats.org/officeDocument/2006/relationships/hyperlink" Target="https://duckduckgo.com/?q=%21ducky%20leetcode%20Recover%20BST%20%28two%20swapped%20nodes%29" TargetMode="External"/><Relationship Id="rId660" Type="http://schemas.openxmlformats.org/officeDocument/2006/relationships/hyperlink" Target="https://duckduckgo.com/?q=%21ducky%20striver%20takeUforward%20Recover%20BST%20%28two%20swapped%20nodes%29%20solution" TargetMode="External"/><Relationship Id="rId661" Type="http://schemas.openxmlformats.org/officeDocument/2006/relationships/hyperlink" Target="https://duckduckgo.com/?q=%21ducky%20leetcode%20Largest%20BST%20in%20Binary%20Tree" TargetMode="External"/><Relationship Id="rId662" Type="http://schemas.openxmlformats.org/officeDocument/2006/relationships/hyperlink" Target="https://duckduckgo.com/?q=%21ducky%20striver%20takeUforward%20Largest%20BST%20in%20Binary%20Tree%20solution" TargetMode="External"/><Relationship Id="rId663" Type="http://schemas.openxmlformats.org/officeDocument/2006/relationships/hyperlink" Target="https://duckduckgo.com/?q=%21ducky%20leetcode%20Graph%20and%20its%20Types" TargetMode="External"/><Relationship Id="rId664" Type="http://schemas.openxmlformats.org/officeDocument/2006/relationships/hyperlink" Target="https://duckduckgo.com/?q=%21ducky%20striver%20takeUforward%20Graph%20and%20its%20Types%20solution" TargetMode="External"/><Relationship Id="rId665" Type="http://schemas.openxmlformats.org/officeDocument/2006/relationships/hyperlink" Target="https://duckduckgo.com/?q=%21ducky%20leetcode%20Graph%20Representation" TargetMode="External"/><Relationship Id="rId666" Type="http://schemas.openxmlformats.org/officeDocument/2006/relationships/hyperlink" Target="https://duckduckgo.com/?q=%21ducky%20striver%20takeUforward%20Graph%20Representation%20solution" TargetMode="External"/><Relationship Id="rId667" Type="http://schemas.openxmlformats.org/officeDocument/2006/relationships/hyperlink" Target="https://duckduckgo.com/?q=%21ducky%20leetcode%20Connected%20Components" TargetMode="External"/><Relationship Id="rId668" Type="http://schemas.openxmlformats.org/officeDocument/2006/relationships/hyperlink" Target="https://duckduckgo.com/?q=%21ducky%20striver%20takeUforward%20Connected%20Components%20solution" TargetMode="External"/><Relationship Id="rId669" Type="http://schemas.openxmlformats.org/officeDocument/2006/relationships/hyperlink" Target="https://duckduckgo.com/?q=%21ducky%20leetcode%20BFS%20Traversal" TargetMode="External"/><Relationship Id="rId670" Type="http://schemas.openxmlformats.org/officeDocument/2006/relationships/hyperlink" Target="https://duckduckgo.com/?q=%21ducky%20striver%20takeUforward%20BFS%20Traversal%20solution" TargetMode="External"/><Relationship Id="rId671" Type="http://schemas.openxmlformats.org/officeDocument/2006/relationships/hyperlink" Target="https://duckduckgo.com/?q=%21ducky%20leetcode%20DFS%20Traversal" TargetMode="External"/><Relationship Id="rId672" Type="http://schemas.openxmlformats.org/officeDocument/2006/relationships/hyperlink" Target="https://duckduckgo.com/?q=%21ducky%20striver%20takeUforward%20DFS%20Traversal%20solution" TargetMode="External"/><Relationship Id="rId673" Type="http://schemas.openxmlformats.org/officeDocument/2006/relationships/hyperlink" Target="https://duckduckgo.com/?q=%21ducky%20leetcode%20Number%20of%20Provinces" TargetMode="External"/><Relationship Id="rId674" Type="http://schemas.openxmlformats.org/officeDocument/2006/relationships/hyperlink" Target="https://duckduckgo.com/?q=%21ducky%20striver%20takeUforward%20Number%20of%20Provinces%20solution" TargetMode="External"/><Relationship Id="rId675" Type="http://schemas.openxmlformats.org/officeDocument/2006/relationships/hyperlink" Target="https://duckduckgo.com/?q=%21ducky%20leetcode%20Number%20of%20Islands" TargetMode="External"/><Relationship Id="rId676" Type="http://schemas.openxmlformats.org/officeDocument/2006/relationships/hyperlink" Target="https://duckduckgo.com/?q=%21ducky%20striver%20takeUforward%20Number%20of%20Islands%20solution" TargetMode="External"/><Relationship Id="rId677" Type="http://schemas.openxmlformats.org/officeDocument/2006/relationships/hyperlink" Target="https://duckduckgo.com/?q=%21ducky%20leetcode%20Flood%20Fill" TargetMode="External"/><Relationship Id="rId678" Type="http://schemas.openxmlformats.org/officeDocument/2006/relationships/hyperlink" Target="https://duckduckgo.com/?q=%21ducky%20striver%20takeUforward%20Flood%20Fill%20solution" TargetMode="External"/><Relationship Id="rId679" Type="http://schemas.openxmlformats.org/officeDocument/2006/relationships/hyperlink" Target="https://duckduckgo.com/?q=%21ducky%20leetcode%20Rotten%20Oranges" TargetMode="External"/><Relationship Id="rId680" Type="http://schemas.openxmlformats.org/officeDocument/2006/relationships/hyperlink" Target="https://duckduckgo.com/?q=%21ducky%20striver%20takeUforward%20Rotten%20Oranges%20solution" TargetMode="External"/><Relationship Id="rId681" Type="http://schemas.openxmlformats.org/officeDocument/2006/relationships/hyperlink" Target="https://duckduckgo.com/?q=%21ducky%20leetcode%20Detect%20cycle%20in%20undirected%20%28BFS%29" TargetMode="External"/><Relationship Id="rId682" Type="http://schemas.openxmlformats.org/officeDocument/2006/relationships/hyperlink" Target="https://duckduckgo.com/?q=%21ducky%20striver%20takeUforward%20Detect%20cycle%20in%20undirected%20%28BFS%29%20solution" TargetMode="External"/><Relationship Id="rId683" Type="http://schemas.openxmlformats.org/officeDocument/2006/relationships/hyperlink" Target="https://duckduckgo.com/?q=%21ducky%20leetcode%20Detect%20cycle%20in%20undirected%20%28DFS%29" TargetMode="External"/><Relationship Id="rId684" Type="http://schemas.openxmlformats.org/officeDocument/2006/relationships/hyperlink" Target="https://duckduckgo.com/?q=%21ducky%20striver%20takeUforward%20Detect%20cycle%20in%20undirected%20%28DFS%29%20solution" TargetMode="External"/><Relationship Id="rId685" Type="http://schemas.openxmlformats.org/officeDocument/2006/relationships/hyperlink" Target="https://duckduckgo.com/?q=%21ducky%20leetcode%200/1%20Matrix%20%28nearest%20cell%20distance%29" TargetMode="External"/><Relationship Id="rId686" Type="http://schemas.openxmlformats.org/officeDocument/2006/relationships/hyperlink" Target="https://duckduckgo.com/?q=%21ducky%20striver%20takeUforward%200/1%20Matrix%20%28nearest%20cell%20distance%29%20solution" TargetMode="External"/><Relationship Id="rId687" Type="http://schemas.openxmlformats.org/officeDocument/2006/relationships/hyperlink" Target="https://duckduckgo.com/?q=%21ducky%20leetcode%20Surrounded%20Regions" TargetMode="External"/><Relationship Id="rId688" Type="http://schemas.openxmlformats.org/officeDocument/2006/relationships/hyperlink" Target="https://duckduckgo.com/?q=%21ducky%20striver%20takeUforward%20Surrounded%20Regions%20solution" TargetMode="External"/><Relationship Id="rId689" Type="http://schemas.openxmlformats.org/officeDocument/2006/relationships/hyperlink" Target="https://duckduckgo.com/?q=%21ducky%20leetcode%20Number%20of%20Enclaves" TargetMode="External"/><Relationship Id="rId690" Type="http://schemas.openxmlformats.org/officeDocument/2006/relationships/hyperlink" Target="https://duckduckgo.com/?q=%21ducky%20striver%20takeUforward%20Number%20of%20Enclaves%20solution" TargetMode="External"/><Relationship Id="rId691" Type="http://schemas.openxmlformats.org/officeDocument/2006/relationships/hyperlink" Target="https://duckduckgo.com/?q=%21ducky%20leetcode%20Word%20Ladder%20I" TargetMode="External"/><Relationship Id="rId692" Type="http://schemas.openxmlformats.org/officeDocument/2006/relationships/hyperlink" Target="https://duckduckgo.com/?q=%21ducky%20striver%20takeUforward%20Word%20Ladder%20I%20solution" TargetMode="External"/><Relationship Id="rId693" Type="http://schemas.openxmlformats.org/officeDocument/2006/relationships/hyperlink" Target="https://duckduckgo.com/?q=%21ducky%20leetcode%20Word%20Ladder%20II" TargetMode="External"/><Relationship Id="rId694" Type="http://schemas.openxmlformats.org/officeDocument/2006/relationships/hyperlink" Target="https://duckduckgo.com/?q=%21ducky%20striver%20takeUforward%20Word%20Ladder%20II%20solution" TargetMode="External"/><Relationship Id="rId695" Type="http://schemas.openxmlformats.org/officeDocument/2006/relationships/hyperlink" Target="https://duckduckgo.com/?q=%21ducky%20leetcode%20Number%20of%20Distinct%20Islands" TargetMode="External"/><Relationship Id="rId696" Type="http://schemas.openxmlformats.org/officeDocument/2006/relationships/hyperlink" Target="https://duckduckgo.com/?q=%21ducky%20striver%20takeUforward%20Number%20of%20Distinct%20Islands%20solution" TargetMode="External"/><Relationship Id="rId697" Type="http://schemas.openxmlformats.org/officeDocument/2006/relationships/hyperlink" Target="https://duckduckgo.com/?q=%21ducky%20leetcode%20Bipartite%20Graph" TargetMode="External"/><Relationship Id="rId698" Type="http://schemas.openxmlformats.org/officeDocument/2006/relationships/hyperlink" Target="https://duckduckgo.com/?q=%21ducky%20striver%20takeUforward%20Bipartite%20Graph%20solution" TargetMode="External"/><Relationship Id="rId699" Type="http://schemas.openxmlformats.org/officeDocument/2006/relationships/hyperlink" Target="https://duckduckgo.com/?q=%21ducky%20leetcode%20Detect%20cycle%20in%20directed%20%28DFS%29" TargetMode="External"/><Relationship Id="rId700" Type="http://schemas.openxmlformats.org/officeDocument/2006/relationships/hyperlink" Target="https://duckduckgo.com/?q=%21ducky%20striver%20takeUforward%20Detect%20cycle%20in%20directed%20%28DFS%29%20solution" TargetMode="External"/><Relationship Id="rId701" Type="http://schemas.openxmlformats.org/officeDocument/2006/relationships/hyperlink" Target="https://duckduckgo.com/?q=%21ducky%20leetcode%20Topological%20Sort%20%28DFS%29" TargetMode="External"/><Relationship Id="rId702" Type="http://schemas.openxmlformats.org/officeDocument/2006/relationships/hyperlink" Target="https://duckduckgo.com/?q=%21ducky%20striver%20takeUforward%20Topological%20Sort%20%28DFS%29%20solution" TargetMode="External"/><Relationship Id="rId703" Type="http://schemas.openxmlformats.org/officeDocument/2006/relationships/hyperlink" Target="https://duckduckgo.com/?q=%21ducky%20leetcode%20Kahn%27s%20Algorithm%20%28BFS%20Topo%29" TargetMode="External"/><Relationship Id="rId704" Type="http://schemas.openxmlformats.org/officeDocument/2006/relationships/hyperlink" Target="https://duckduckgo.com/?q=%21ducky%20striver%20takeUforward%20Kahn%27s%20Algorithm%20%28BFS%20Topo%29%20solution" TargetMode="External"/><Relationship Id="rId705" Type="http://schemas.openxmlformats.org/officeDocument/2006/relationships/hyperlink" Target="https://duckduckgo.com/?q=%21ducky%20leetcode%20Detect%20cycle%20in%20directed%20%28BFS%29" TargetMode="External"/><Relationship Id="rId706" Type="http://schemas.openxmlformats.org/officeDocument/2006/relationships/hyperlink" Target="https://duckduckgo.com/?q=%21ducky%20striver%20takeUforward%20Detect%20cycle%20in%20directed%20%28BFS%29%20solution" TargetMode="External"/><Relationship Id="rId707" Type="http://schemas.openxmlformats.org/officeDocument/2006/relationships/hyperlink" Target="https://duckduckgo.com/?q=%21ducky%20leetcode%20Course%20Schedule%20I" TargetMode="External"/><Relationship Id="rId708" Type="http://schemas.openxmlformats.org/officeDocument/2006/relationships/hyperlink" Target="https://duckduckgo.com/?q=%21ducky%20striver%20takeUforward%20Course%20Schedule%20I%20solution" TargetMode="External"/><Relationship Id="rId709" Type="http://schemas.openxmlformats.org/officeDocument/2006/relationships/hyperlink" Target="https://duckduckgo.com/?q=%21ducky%20leetcode%20Course%20Schedule%20II" TargetMode="External"/><Relationship Id="rId710" Type="http://schemas.openxmlformats.org/officeDocument/2006/relationships/hyperlink" Target="https://duckduckgo.com/?q=%21ducky%20striver%20takeUforward%20Course%20Schedule%20II%20solution" TargetMode="External"/><Relationship Id="rId711" Type="http://schemas.openxmlformats.org/officeDocument/2006/relationships/hyperlink" Target="https://duckduckgo.com/?q=%21ducky%20leetcode%20Find%20eventual%20safe%20states" TargetMode="External"/><Relationship Id="rId712" Type="http://schemas.openxmlformats.org/officeDocument/2006/relationships/hyperlink" Target="https://duckduckgo.com/?q=%21ducky%20striver%20takeUforward%20Find%20eventual%20safe%20states%20solution" TargetMode="External"/><Relationship Id="rId713" Type="http://schemas.openxmlformats.org/officeDocument/2006/relationships/hyperlink" Target="https://duckduckgo.com/?q=%21ducky%20leetcode%20Alien%20Dictionary" TargetMode="External"/><Relationship Id="rId714" Type="http://schemas.openxmlformats.org/officeDocument/2006/relationships/hyperlink" Target="https://duckduckgo.com/?q=%21ducky%20striver%20takeUforward%20Alien%20Dictionary%20solution" TargetMode="External"/><Relationship Id="rId715" Type="http://schemas.openxmlformats.org/officeDocument/2006/relationships/hyperlink" Target="https://duckduckgo.com/?q=%21ducky%20leetcode%20Shortest%20Path%20in%20UG%20%28unit%20weights%29" TargetMode="External"/><Relationship Id="rId716" Type="http://schemas.openxmlformats.org/officeDocument/2006/relationships/hyperlink" Target="https://duckduckgo.com/?q=%21ducky%20striver%20takeUforward%20Shortest%20Path%20in%20UG%20%28unit%20weights%29%20solution" TargetMode="External"/><Relationship Id="rId717" Type="http://schemas.openxmlformats.org/officeDocument/2006/relationships/hyperlink" Target="https://duckduckgo.com/?q=%21ducky%20leetcode%20Shortest%20Path%20in%20DAG" TargetMode="External"/><Relationship Id="rId718" Type="http://schemas.openxmlformats.org/officeDocument/2006/relationships/hyperlink" Target="https://duckduckgo.com/?q=%21ducky%20striver%20takeUforward%20Shortest%20Path%20in%20DAG%20solution" TargetMode="External"/><Relationship Id="rId719" Type="http://schemas.openxmlformats.org/officeDocument/2006/relationships/hyperlink" Target="https://duckduckgo.com/?q=%21ducky%20leetcode%20Dijkstra%27s%20Algorithm%20%28PQ%29" TargetMode="External"/><Relationship Id="rId720" Type="http://schemas.openxmlformats.org/officeDocument/2006/relationships/hyperlink" Target="https://duckduckgo.com/?q=%21ducky%20striver%20takeUforward%20Dijkstra%27s%20Algorithm%20%28PQ%29%20solution" TargetMode="External"/><Relationship Id="rId721" Type="http://schemas.openxmlformats.org/officeDocument/2006/relationships/hyperlink" Target="https://duckduckgo.com/?q=%21ducky%20leetcode%20Dijkstra%27s%20Algorithm%20%28Set%29" TargetMode="External"/><Relationship Id="rId722" Type="http://schemas.openxmlformats.org/officeDocument/2006/relationships/hyperlink" Target="https://duckduckgo.com/?q=%21ducky%20striver%20takeUforward%20Dijkstra%27s%20Algorithm%20%28Set%29%20solution" TargetMode="External"/><Relationship Id="rId723" Type="http://schemas.openxmlformats.org/officeDocument/2006/relationships/hyperlink" Target="https://duckduckgo.com/?q=%21ducky%20leetcode%20Shortest%20path%20in%20binary%20maze" TargetMode="External"/><Relationship Id="rId724" Type="http://schemas.openxmlformats.org/officeDocument/2006/relationships/hyperlink" Target="https://duckduckgo.com/?q=%21ducky%20striver%20takeUforward%20Shortest%20path%20in%20binary%20maze%20solution" TargetMode="External"/><Relationship Id="rId725" Type="http://schemas.openxmlformats.org/officeDocument/2006/relationships/hyperlink" Target="https://duckduckgo.com/?q=%21ducky%20leetcode%20Path%20with%20minimum%20effort" TargetMode="External"/><Relationship Id="rId726" Type="http://schemas.openxmlformats.org/officeDocument/2006/relationships/hyperlink" Target="https://duckduckgo.com/?q=%21ducky%20striver%20takeUforward%20Path%20with%20minimum%20effort%20solution" TargetMode="External"/><Relationship Id="rId727" Type="http://schemas.openxmlformats.org/officeDocument/2006/relationships/hyperlink" Target="https://duckduckgo.com/?q=%21ducky%20leetcode%20Cheapest%20flights%20within%20K%20stops" TargetMode="External"/><Relationship Id="rId728" Type="http://schemas.openxmlformats.org/officeDocument/2006/relationships/hyperlink" Target="https://duckduckgo.com/?q=%21ducky%20striver%20takeUforward%20Cheapest%20flights%20within%20K%20stops%20solution" TargetMode="External"/><Relationship Id="rId729" Type="http://schemas.openxmlformats.org/officeDocument/2006/relationships/hyperlink" Target="https://duckduckgo.com/?q=%21ducky%20leetcode%20Number%20of%20ways%20to%20arrive%20at%20destination" TargetMode="External"/><Relationship Id="rId730" Type="http://schemas.openxmlformats.org/officeDocument/2006/relationships/hyperlink" Target="https://duckduckgo.com/?q=%21ducky%20striver%20takeUforward%20Number%20of%20ways%20to%20arrive%20at%20destination%20solution" TargetMode="External"/><Relationship Id="rId731" Type="http://schemas.openxmlformats.org/officeDocument/2006/relationships/hyperlink" Target="https://duckduckgo.com/?q=%21ducky%20leetcode%20Minimum%20multiplications%20to%20reach%20end" TargetMode="External"/><Relationship Id="rId732" Type="http://schemas.openxmlformats.org/officeDocument/2006/relationships/hyperlink" Target="https://duckduckgo.com/?q=%21ducky%20striver%20takeUforward%20Minimum%20multiplications%20to%20reach%20end%20solution" TargetMode="External"/><Relationship Id="rId733" Type="http://schemas.openxmlformats.org/officeDocument/2006/relationships/hyperlink" Target="https://duckduckgo.com/?q=%21ducky%20leetcode%20Bellman-Ford%20Algorithm" TargetMode="External"/><Relationship Id="rId734" Type="http://schemas.openxmlformats.org/officeDocument/2006/relationships/hyperlink" Target="https://duckduckgo.com/?q=%21ducky%20striver%20takeUforward%20Bellman-Ford%20Algorithm%20solution" TargetMode="External"/><Relationship Id="rId735" Type="http://schemas.openxmlformats.org/officeDocument/2006/relationships/hyperlink" Target="https://duckduckgo.com/?q=%21ducky%20leetcode%20Floyd%20Warshall%20Algorithm" TargetMode="External"/><Relationship Id="rId736" Type="http://schemas.openxmlformats.org/officeDocument/2006/relationships/hyperlink" Target="https://duckduckgo.com/?q=%21ducky%20striver%20takeUforward%20Floyd%20Warshall%20Algorithm%20solution" TargetMode="External"/><Relationship Id="rId737" Type="http://schemas.openxmlformats.org/officeDocument/2006/relationships/hyperlink" Target="https://duckduckgo.com/?q=%21ducky%20leetcode%20City%20with%20smallest%20number%20of%20neighbours" TargetMode="External"/><Relationship Id="rId738" Type="http://schemas.openxmlformats.org/officeDocument/2006/relationships/hyperlink" Target="https://duckduckgo.com/?q=%21ducky%20striver%20takeUforward%20City%20with%20smallest%20number%20of%20neighbours%20solution" TargetMode="External"/><Relationship Id="rId739" Type="http://schemas.openxmlformats.org/officeDocument/2006/relationships/hyperlink" Target="https://duckduckgo.com/?q=%21ducky%20leetcode%20Network%20Delay%20Time" TargetMode="External"/><Relationship Id="rId740" Type="http://schemas.openxmlformats.org/officeDocument/2006/relationships/hyperlink" Target="https://duckduckgo.com/?q=%21ducky%20striver%20takeUforward%20Network%20Delay%20Time%20solution" TargetMode="External"/><Relationship Id="rId741" Type="http://schemas.openxmlformats.org/officeDocument/2006/relationships/hyperlink" Target="https://duckduckgo.com/?q=%21ducky%20leetcode%20Minimum%20Spanning%20Tree%20%28theory%29" TargetMode="External"/><Relationship Id="rId742" Type="http://schemas.openxmlformats.org/officeDocument/2006/relationships/hyperlink" Target="https://duckduckgo.com/?q=%21ducky%20striver%20takeUforward%20Minimum%20Spanning%20Tree%20%28theory%29%20solution" TargetMode="External"/><Relationship Id="rId743" Type="http://schemas.openxmlformats.org/officeDocument/2006/relationships/hyperlink" Target="https://duckduckgo.com/?q=%21ducky%20leetcode%20Prim%27s%20Algorithm" TargetMode="External"/><Relationship Id="rId744" Type="http://schemas.openxmlformats.org/officeDocument/2006/relationships/hyperlink" Target="https://duckduckgo.com/?q=%21ducky%20striver%20takeUforward%20Prim%27s%20Algorithm%20solution" TargetMode="External"/><Relationship Id="rId745" Type="http://schemas.openxmlformats.org/officeDocument/2006/relationships/hyperlink" Target="https://duckduckgo.com/?q=%21ducky%20leetcode%20Disjoint%20Set%20%28Union%20by%20Rank/Size%29" TargetMode="External"/><Relationship Id="rId746" Type="http://schemas.openxmlformats.org/officeDocument/2006/relationships/hyperlink" Target="https://duckduckgo.com/?q=%21ducky%20striver%20takeUforward%20Disjoint%20Set%20%28Union%20by%20Rank/Size%29%20solution" TargetMode="External"/><Relationship Id="rId747" Type="http://schemas.openxmlformats.org/officeDocument/2006/relationships/hyperlink" Target="https://duckduckgo.com/?q=%21ducky%20leetcode%20Kruskal%27s%20Algorithm" TargetMode="External"/><Relationship Id="rId748" Type="http://schemas.openxmlformats.org/officeDocument/2006/relationships/hyperlink" Target="https://duckduckgo.com/?q=%21ducky%20striver%20takeUforward%20Kruskal%27s%20Algorithm%20solution" TargetMode="External"/><Relationship Id="rId749" Type="http://schemas.openxmlformats.org/officeDocument/2006/relationships/hyperlink" Target="https://duckduckgo.com/?q=%21ducky%20leetcode%20Operations%20to%20make%20network%20connected" TargetMode="External"/><Relationship Id="rId750" Type="http://schemas.openxmlformats.org/officeDocument/2006/relationships/hyperlink" Target="https://duckduckgo.com/?q=%21ducky%20striver%20takeUforward%20Operations%20to%20make%20network%20connected%20solution" TargetMode="External"/><Relationship Id="rId751" Type="http://schemas.openxmlformats.org/officeDocument/2006/relationships/hyperlink" Target="https://duckduckgo.com/?q=%21ducky%20leetcode%20Most%20stones%20removed%20with%20same%20row/column" TargetMode="External"/><Relationship Id="rId752" Type="http://schemas.openxmlformats.org/officeDocument/2006/relationships/hyperlink" Target="https://duckduckgo.com/?q=%21ducky%20striver%20takeUforward%20Most%20stones%20removed%20with%20same%20row/column%20solution" TargetMode="External"/><Relationship Id="rId753" Type="http://schemas.openxmlformats.org/officeDocument/2006/relationships/hyperlink" Target="https://duckduckgo.com/?q=%21ducky%20leetcode%20Accounts%20Merge" TargetMode="External"/><Relationship Id="rId754" Type="http://schemas.openxmlformats.org/officeDocument/2006/relationships/hyperlink" Target="https://duckduckgo.com/?q=%21ducky%20striver%20takeUforward%20Accounts%20Merge%20solution" TargetMode="External"/><Relationship Id="rId755" Type="http://schemas.openxmlformats.org/officeDocument/2006/relationships/hyperlink" Target="https://duckduckgo.com/?q=%21ducky%20leetcode%20Number%20of%20Islands%20II" TargetMode="External"/><Relationship Id="rId756" Type="http://schemas.openxmlformats.org/officeDocument/2006/relationships/hyperlink" Target="https://duckduckgo.com/?q=%21ducky%20striver%20takeUforward%20Number%20of%20Islands%20II%20solution" TargetMode="External"/><Relationship Id="rId757" Type="http://schemas.openxmlformats.org/officeDocument/2006/relationships/hyperlink" Target="https://duckduckgo.com/?q=%21ducky%20leetcode%20Making%20a%20Large%20Island" TargetMode="External"/><Relationship Id="rId758" Type="http://schemas.openxmlformats.org/officeDocument/2006/relationships/hyperlink" Target="https://duckduckgo.com/?q=%21ducky%20striver%20takeUforward%20Making%20a%20Large%20Island%20solution" TargetMode="External"/><Relationship Id="rId759" Type="http://schemas.openxmlformats.org/officeDocument/2006/relationships/hyperlink" Target="https://duckduckgo.com/?q=%21ducky%20leetcode%20Swim%20in%20Rising%20Water" TargetMode="External"/><Relationship Id="rId760" Type="http://schemas.openxmlformats.org/officeDocument/2006/relationships/hyperlink" Target="https://duckduckgo.com/?q=%21ducky%20striver%20takeUforward%20Swim%20in%20Rising%20Water%20solution" TargetMode="External"/><Relationship Id="rId761" Type="http://schemas.openxmlformats.org/officeDocument/2006/relationships/hyperlink" Target="https://duckduckgo.com/?q=%21ducky%20leetcode%20Bridges%20in%20Graph%20%28Tarjan%29" TargetMode="External"/><Relationship Id="rId762" Type="http://schemas.openxmlformats.org/officeDocument/2006/relationships/hyperlink" Target="https://duckduckgo.com/?q=%21ducky%20striver%20takeUforward%20Bridges%20in%20Graph%20%28Tarjan%29%20solution" TargetMode="External"/><Relationship Id="rId763" Type="http://schemas.openxmlformats.org/officeDocument/2006/relationships/hyperlink" Target="https://duckduckgo.com/?q=%21ducky%20leetcode%20Articulation%20Point" TargetMode="External"/><Relationship Id="rId764" Type="http://schemas.openxmlformats.org/officeDocument/2006/relationships/hyperlink" Target="https://duckduckgo.com/?q=%21ducky%20striver%20takeUforward%20Articulation%20Point%20solution" TargetMode="External"/><Relationship Id="rId765" Type="http://schemas.openxmlformats.org/officeDocument/2006/relationships/hyperlink" Target="https://duckduckgo.com/?q=%21ducky%20leetcode%20Kosaraju%27s%20Algorithm%20%28SCC%29" TargetMode="External"/><Relationship Id="rId766" Type="http://schemas.openxmlformats.org/officeDocument/2006/relationships/hyperlink" Target="https://duckduckgo.com/?q=%21ducky%20striver%20takeUforward%20Kosaraju%27s%20Algorithm%20%28SCC%29%20solution" TargetMode="External"/><Relationship Id="rId767" Type="http://schemas.openxmlformats.org/officeDocument/2006/relationships/hyperlink" Target="https://duckduckgo.com/?q=%21ducky%20leetcode%20Introduction%20to%20DP" TargetMode="External"/><Relationship Id="rId768" Type="http://schemas.openxmlformats.org/officeDocument/2006/relationships/hyperlink" Target="https://duckduckgo.com/?q=%21ducky%20striver%20takeUforward%20Introduction%20to%20DP%20solution" TargetMode="External"/><Relationship Id="rId769" Type="http://schemas.openxmlformats.org/officeDocument/2006/relationships/hyperlink" Target="https://duckduckgo.com/?q=%21ducky%20leetcode%20Climbing%20Stairs" TargetMode="External"/><Relationship Id="rId770" Type="http://schemas.openxmlformats.org/officeDocument/2006/relationships/hyperlink" Target="https://duckduckgo.com/?q=%21ducky%20striver%20takeUforward%20Climbing%20Stairs%20solution" TargetMode="External"/><Relationship Id="rId771" Type="http://schemas.openxmlformats.org/officeDocument/2006/relationships/hyperlink" Target="https://duckduckgo.com/?q=%21ducky%20leetcode%20Frog%20Jump" TargetMode="External"/><Relationship Id="rId772" Type="http://schemas.openxmlformats.org/officeDocument/2006/relationships/hyperlink" Target="https://duckduckgo.com/?q=%21ducky%20striver%20takeUforward%20Frog%20Jump%20solution" TargetMode="External"/><Relationship Id="rId773" Type="http://schemas.openxmlformats.org/officeDocument/2006/relationships/hyperlink" Target="https://duckduckgo.com/?q=%21ducky%20leetcode%20Frog%20Jump%20with%20K%20distances" TargetMode="External"/><Relationship Id="rId774" Type="http://schemas.openxmlformats.org/officeDocument/2006/relationships/hyperlink" Target="https://duckduckgo.com/?q=%21ducky%20striver%20takeUforward%20Frog%20Jump%20with%20K%20distances%20solution" TargetMode="External"/><Relationship Id="rId775" Type="http://schemas.openxmlformats.org/officeDocument/2006/relationships/hyperlink" Target="https://duckduckgo.com/?q=%21ducky%20leetcode%20House%20Robber%20%28non-adjacent%29" TargetMode="External"/><Relationship Id="rId776" Type="http://schemas.openxmlformats.org/officeDocument/2006/relationships/hyperlink" Target="https://duckduckgo.com/?q=%21ducky%20striver%20takeUforward%20House%20Robber%20%28non-adjacent%29%20solution" TargetMode="External"/><Relationship Id="rId777" Type="http://schemas.openxmlformats.org/officeDocument/2006/relationships/hyperlink" Target="https://duckduckgo.com/?q=%21ducky%20leetcode%20House%20Robber%20II" TargetMode="External"/><Relationship Id="rId778" Type="http://schemas.openxmlformats.org/officeDocument/2006/relationships/hyperlink" Target="https://duckduckgo.com/?q=%21ducky%20striver%20takeUforward%20House%20Robber%20II%20solution" TargetMode="External"/><Relationship Id="rId779" Type="http://schemas.openxmlformats.org/officeDocument/2006/relationships/hyperlink" Target="https://duckduckgo.com/?q=%21ducky%20leetcode%20Ninja%27s%20Training" TargetMode="External"/><Relationship Id="rId780" Type="http://schemas.openxmlformats.org/officeDocument/2006/relationships/hyperlink" Target="https://duckduckgo.com/?q=%21ducky%20striver%20takeUforward%20Ninja%27s%20Training%20solution" TargetMode="External"/><Relationship Id="rId781" Type="http://schemas.openxmlformats.org/officeDocument/2006/relationships/hyperlink" Target="https://duckduckgo.com/?q=%21ducky%20leetcode%20Grid%20Unique%20Paths" TargetMode="External"/><Relationship Id="rId782" Type="http://schemas.openxmlformats.org/officeDocument/2006/relationships/hyperlink" Target="https://duckduckgo.com/?q=%21ducky%20striver%20takeUforward%20Grid%20Unique%20Paths%20solution" TargetMode="External"/><Relationship Id="rId783" Type="http://schemas.openxmlformats.org/officeDocument/2006/relationships/hyperlink" Target="https://duckduckgo.com/?q=%21ducky%20leetcode%20Grid%20Unique%20Paths%20II" TargetMode="External"/><Relationship Id="rId784" Type="http://schemas.openxmlformats.org/officeDocument/2006/relationships/hyperlink" Target="https://duckduckgo.com/?q=%21ducky%20striver%20takeUforward%20Grid%20Unique%20Paths%20II%20solution" TargetMode="External"/><Relationship Id="rId785" Type="http://schemas.openxmlformats.org/officeDocument/2006/relationships/hyperlink" Target="https://duckduckgo.com/?q=%21ducky%20leetcode%20Minimum%20Path%20Sum%20in%20Grid" TargetMode="External"/><Relationship Id="rId786" Type="http://schemas.openxmlformats.org/officeDocument/2006/relationships/hyperlink" Target="https://duckduckgo.com/?q=%21ducky%20striver%20takeUforward%20Minimum%20Path%20Sum%20in%20Grid%20solution" TargetMode="External"/><Relationship Id="rId787" Type="http://schemas.openxmlformats.org/officeDocument/2006/relationships/hyperlink" Target="https://duckduckgo.com/?q=%21ducky%20leetcode%20Minimum%20Path%20Sum%20%28Triangle%29" TargetMode="External"/><Relationship Id="rId788" Type="http://schemas.openxmlformats.org/officeDocument/2006/relationships/hyperlink" Target="https://duckduckgo.com/?q=%21ducky%20striver%20takeUforward%20Minimum%20Path%20Sum%20%28Triangle%29%20solution" TargetMode="External"/><Relationship Id="rId789" Type="http://schemas.openxmlformats.org/officeDocument/2006/relationships/hyperlink" Target="https://duckduckgo.com/?q=%21ducky%20leetcode%20Min/Max%20Falling%20Path%20Sum" TargetMode="External"/><Relationship Id="rId790" Type="http://schemas.openxmlformats.org/officeDocument/2006/relationships/hyperlink" Target="https://duckduckgo.com/?q=%21ducky%20striver%20takeUforward%20Min/Max%20Falling%20Path%20Sum%20solution" TargetMode="External"/><Relationship Id="rId791" Type="http://schemas.openxmlformats.org/officeDocument/2006/relationships/hyperlink" Target="https://duckduckgo.com/?q=%21ducky%20leetcode%20Cherry%20Pickup%20II" TargetMode="External"/><Relationship Id="rId792" Type="http://schemas.openxmlformats.org/officeDocument/2006/relationships/hyperlink" Target="https://duckduckgo.com/?q=%21ducky%20striver%20takeUforward%20Cherry%20Pickup%20II%20solution" TargetMode="External"/><Relationship Id="rId793" Type="http://schemas.openxmlformats.org/officeDocument/2006/relationships/hyperlink" Target="https://duckduckgo.com/?q=%21ducky%20leetcode%20Subset%20Sum%20equal%20to%20target" TargetMode="External"/><Relationship Id="rId794" Type="http://schemas.openxmlformats.org/officeDocument/2006/relationships/hyperlink" Target="https://duckduckgo.com/?q=%21ducky%20striver%20takeUforward%20Subset%20Sum%20equal%20to%20target%20solution" TargetMode="External"/><Relationship Id="rId795" Type="http://schemas.openxmlformats.org/officeDocument/2006/relationships/hyperlink" Target="https://duckduckgo.com/?q=%21ducky%20leetcode%20Partition%20Equal%20Subset%20Sum" TargetMode="External"/><Relationship Id="rId796" Type="http://schemas.openxmlformats.org/officeDocument/2006/relationships/hyperlink" Target="https://duckduckgo.com/?q=%21ducky%20striver%20takeUforward%20Partition%20Equal%20Subset%20Sum%20solution" TargetMode="External"/><Relationship Id="rId797" Type="http://schemas.openxmlformats.org/officeDocument/2006/relationships/hyperlink" Target="https://duckduckgo.com/?q=%21ducky%20leetcode%20Partition%20with%20min%20absolute%20difference" TargetMode="External"/><Relationship Id="rId798" Type="http://schemas.openxmlformats.org/officeDocument/2006/relationships/hyperlink" Target="https://duckduckgo.com/?q=%21ducky%20striver%20takeUforward%20Partition%20with%20min%20absolute%20difference%20solution" TargetMode="External"/><Relationship Id="rId799" Type="http://schemas.openxmlformats.org/officeDocument/2006/relationships/hyperlink" Target="https://duckduckgo.com/?q=%21ducky%20leetcode%20Count%20subsets%20with%20sum%20K" TargetMode="External"/><Relationship Id="rId800" Type="http://schemas.openxmlformats.org/officeDocument/2006/relationships/hyperlink" Target="https://duckduckgo.com/?q=%21ducky%20striver%20takeUforward%20Count%20subsets%20with%20sum%20K%20solution" TargetMode="External"/><Relationship Id="rId801" Type="http://schemas.openxmlformats.org/officeDocument/2006/relationships/hyperlink" Target="https://duckduckgo.com/?q=%21ducky%20leetcode%20Count%20partitions%20with%20given%20difference" TargetMode="External"/><Relationship Id="rId802" Type="http://schemas.openxmlformats.org/officeDocument/2006/relationships/hyperlink" Target="https://duckduckgo.com/?q=%21ducky%20striver%20takeUforward%20Count%20partitions%20with%20given%20difference%20solution" TargetMode="External"/><Relationship Id="rId803" Type="http://schemas.openxmlformats.org/officeDocument/2006/relationships/hyperlink" Target="https://duckduckgo.com/?q=%21ducky%20leetcode%200/1%20Knapsack" TargetMode="External"/><Relationship Id="rId804" Type="http://schemas.openxmlformats.org/officeDocument/2006/relationships/hyperlink" Target="https://duckduckgo.com/?q=%21ducky%20striver%20takeUforward%200/1%20Knapsack%20solution" TargetMode="External"/><Relationship Id="rId805" Type="http://schemas.openxmlformats.org/officeDocument/2006/relationships/hyperlink" Target="https://duckduckgo.com/?q=%21ducky%20leetcode%20Minimum%20Coins" TargetMode="External"/><Relationship Id="rId806" Type="http://schemas.openxmlformats.org/officeDocument/2006/relationships/hyperlink" Target="https://duckduckgo.com/?q=%21ducky%20striver%20takeUforward%20Minimum%20Coins%20solution" TargetMode="External"/><Relationship Id="rId807" Type="http://schemas.openxmlformats.org/officeDocument/2006/relationships/hyperlink" Target="https://duckduckgo.com/?q=%21ducky%20leetcode%20Target%20Sum" TargetMode="External"/><Relationship Id="rId808" Type="http://schemas.openxmlformats.org/officeDocument/2006/relationships/hyperlink" Target="https://duckduckgo.com/?q=%21ducky%20striver%20takeUforward%20Target%20Sum%20solution" TargetMode="External"/><Relationship Id="rId809" Type="http://schemas.openxmlformats.org/officeDocument/2006/relationships/hyperlink" Target="https://duckduckgo.com/?q=%21ducky%20leetcode%20Coin%20Change%20II" TargetMode="External"/><Relationship Id="rId810" Type="http://schemas.openxmlformats.org/officeDocument/2006/relationships/hyperlink" Target="https://duckduckgo.com/?q=%21ducky%20striver%20takeUforward%20Coin%20Change%20II%20solution" TargetMode="External"/><Relationship Id="rId811" Type="http://schemas.openxmlformats.org/officeDocument/2006/relationships/hyperlink" Target="https://duckduckgo.com/?q=%21ducky%20leetcode%20Unbounded%20Knapsack" TargetMode="External"/><Relationship Id="rId812" Type="http://schemas.openxmlformats.org/officeDocument/2006/relationships/hyperlink" Target="https://duckduckgo.com/?q=%21ducky%20striver%20takeUforward%20Unbounded%20Knapsack%20solution" TargetMode="External"/><Relationship Id="rId813" Type="http://schemas.openxmlformats.org/officeDocument/2006/relationships/hyperlink" Target="https://duckduckgo.com/?q=%21ducky%20leetcode%20Rod%20Cutting%20Problem" TargetMode="External"/><Relationship Id="rId814" Type="http://schemas.openxmlformats.org/officeDocument/2006/relationships/hyperlink" Target="https://duckduckgo.com/?q=%21ducky%20striver%20takeUforward%20Rod%20Cutting%20Problem%20solution" TargetMode="External"/><Relationship Id="rId815" Type="http://schemas.openxmlformats.org/officeDocument/2006/relationships/hyperlink" Target="https://duckduckgo.com/?q=%21ducky%20leetcode%20Longest%20Common%20Subsequence" TargetMode="External"/><Relationship Id="rId816" Type="http://schemas.openxmlformats.org/officeDocument/2006/relationships/hyperlink" Target="https://duckduckgo.com/?q=%21ducky%20striver%20takeUforward%20Longest%20Common%20Subsequence%20solution" TargetMode="External"/><Relationship Id="rId817" Type="http://schemas.openxmlformats.org/officeDocument/2006/relationships/hyperlink" Target="https://duckduckgo.com/?q=%21ducky%20leetcode%20Print%20LCS" TargetMode="External"/><Relationship Id="rId818" Type="http://schemas.openxmlformats.org/officeDocument/2006/relationships/hyperlink" Target="https://duckduckgo.com/?q=%21ducky%20striver%20takeUforward%20Print%20LCS%20solution" TargetMode="External"/><Relationship Id="rId819" Type="http://schemas.openxmlformats.org/officeDocument/2006/relationships/hyperlink" Target="https://duckduckgo.com/?q=%21ducky%20leetcode%20Longest%20Common%20Substring" TargetMode="External"/><Relationship Id="rId820" Type="http://schemas.openxmlformats.org/officeDocument/2006/relationships/hyperlink" Target="https://duckduckgo.com/?q=%21ducky%20striver%20takeUforward%20Longest%20Common%20Substring%20solution" TargetMode="External"/><Relationship Id="rId821" Type="http://schemas.openxmlformats.org/officeDocument/2006/relationships/hyperlink" Target="https://duckduckgo.com/?q=%21ducky%20leetcode%20Longest%20Palindromic%20Subsequence" TargetMode="External"/><Relationship Id="rId822" Type="http://schemas.openxmlformats.org/officeDocument/2006/relationships/hyperlink" Target="https://duckduckgo.com/?q=%21ducky%20striver%20takeUforward%20Longest%20Palindromic%20Subsequence%20solution" TargetMode="External"/><Relationship Id="rId823" Type="http://schemas.openxmlformats.org/officeDocument/2006/relationships/hyperlink" Target="https://duckduckgo.com/?q=%21ducky%20leetcode%20Min%20insertions%20to%20make%20palindrome" TargetMode="External"/><Relationship Id="rId824" Type="http://schemas.openxmlformats.org/officeDocument/2006/relationships/hyperlink" Target="https://duckduckgo.com/?q=%21ducky%20striver%20takeUforward%20Min%20insertions%20to%20make%20palindrome%20solution" TargetMode="External"/><Relationship Id="rId825" Type="http://schemas.openxmlformats.org/officeDocument/2006/relationships/hyperlink" Target="https://duckduckgo.com/?q=%21ducky%20leetcode%20Min%20insertions/deletions%20A%20to%20B" TargetMode="External"/><Relationship Id="rId826" Type="http://schemas.openxmlformats.org/officeDocument/2006/relationships/hyperlink" Target="https://duckduckgo.com/?q=%21ducky%20striver%20takeUforward%20Min%20insertions/deletions%20A%20to%20B%20solution" TargetMode="External"/><Relationship Id="rId827" Type="http://schemas.openxmlformats.org/officeDocument/2006/relationships/hyperlink" Target="https://duckduckgo.com/?q=%21ducky%20leetcode%20Shortest%20Common%20Supersequence" TargetMode="External"/><Relationship Id="rId828" Type="http://schemas.openxmlformats.org/officeDocument/2006/relationships/hyperlink" Target="https://duckduckgo.com/?q=%21ducky%20striver%20takeUforward%20Shortest%20Common%20Supersequence%20solution" TargetMode="External"/><Relationship Id="rId829" Type="http://schemas.openxmlformats.org/officeDocument/2006/relationships/hyperlink" Target="https://duckduckgo.com/?q=%21ducky%20leetcode%20Distinct%20Subsequences" TargetMode="External"/><Relationship Id="rId830" Type="http://schemas.openxmlformats.org/officeDocument/2006/relationships/hyperlink" Target="https://duckduckgo.com/?q=%21ducky%20striver%20takeUforward%20Distinct%20Subsequences%20solution" TargetMode="External"/><Relationship Id="rId831" Type="http://schemas.openxmlformats.org/officeDocument/2006/relationships/hyperlink" Target="https://duckduckgo.com/?q=%21ducky%20leetcode%20Edit%20Distance" TargetMode="External"/><Relationship Id="rId832" Type="http://schemas.openxmlformats.org/officeDocument/2006/relationships/hyperlink" Target="https://duckduckgo.com/?q=%21ducky%20striver%20takeUforward%20Edit%20Distance%20solution" TargetMode="External"/><Relationship Id="rId833" Type="http://schemas.openxmlformats.org/officeDocument/2006/relationships/hyperlink" Target="https://duckduckgo.com/?q=%21ducky%20leetcode%20Wildcard%20Matching" TargetMode="External"/><Relationship Id="rId834" Type="http://schemas.openxmlformats.org/officeDocument/2006/relationships/hyperlink" Target="https://duckduckgo.com/?q=%21ducky%20striver%20takeUforward%20Wildcard%20Matching%20solution" TargetMode="External"/><Relationship Id="rId835" Type="http://schemas.openxmlformats.org/officeDocument/2006/relationships/hyperlink" Target="https://duckduckgo.com/?q=%21ducky%20leetcode%20Best%20Time%20to%20Buy%20and%20Sell%20Stock" TargetMode="External"/><Relationship Id="rId836" Type="http://schemas.openxmlformats.org/officeDocument/2006/relationships/hyperlink" Target="https://duckduckgo.com/?q=%21ducky%20striver%20takeUforward%20Best%20Time%20to%20Buy%20and%20Sell%20Stock%20solution" TargetMode="External"/><Relationship Id="rId837" Type="http://schemas.openxmlformats.org/officeDocument/2006/relationships/hyperlink" Target="https://duckduckgo.com/?q=%21ducky%20leetcode%20Buy%20and%20Sell%20Stock%20II" TargetMode="External"/><Relationship Id="rId838" Type="http://schemas.openxmlformats.org/officeDocument/2006/relationships/hyperlink" Target="https://duckduckgo.com/?q=%21ducky%20striver%20takeUforward%20Buy%20and%20Sell%20Stock%20II%20solution" TargetMode="External"/><Relationship Id="rId839" Type="http://schemas.openxmlformats.org/officeDocument/2006/relationships/hyperlink" Target="https://duckduckgo.com/?q=%21ducky%20leetcode%20Buy%20and%20Sell%20Stock%20III" TargetMode="External"/><Relationship Id="rId840" Type="http://schemas.openxmlformats.org/officeDocument/2006/relationships/hyperlink" Target="https://duckduckgo.com/?q=%21ducky%20striver%20takeUforward%20Buy%20and%20Sell%20Stock%20III%20solution" TargetMode="External"/><Relationship Id="rId841" Type="http://schemas.openxmlformats.org/officeDocument/2006/relationships/hyperlink" Target="https://duckduckgo.com/?q=%21ducky%20leetcode%20Buy%20and%20Sell%20Stock%20IV" TargetMode="External"/><Relationship Id="rId842" Type="http://schemas.openxmlformats.org/officeDocument/2006/relationships/hyperlink" Target="https://duckduckgo.com/?q=%21ducky%20striver%20takeUforward%20Buy%20and%20Sell%20Stock%20IV%20solution" TargetMode="External"/><Relationship Id="rId843" Type="http://schemas.openxmlformats.org/officeDocument/2006/relationships/hyperlink" Target="https://duckduckgo.com/?q=%21ducky%20leetcode%20Buy%20and%20Sell%20with%20cooldown" TargetMode="External"/><Relationship Id="rId844" Type="http://schemas.openxmlformats.org/officeDocument/2006/relationships/hyperlink" Target="https://duckduckgo.com/?q=%21ducky%20striver%20takeUforward%20Buy%20and%20Sell%20with%20cooldown%20solution" TargetMode="External"/><Relationship Id="rId845" Type="http://schemas.openxmlformats.org/officeDocument/2006/relationships/hyperlink" Target="https://duckduckgo.com/?q=%21ducky%20leetcode%20Buy%20and%20Sell%20with%20transaction%20fee" TargetMode="External"/><Relationship Id="rId846" Type="http://schemas.openxmlformats.org/officeDocument/2006/relationships/hyperlink" Target="https://duckduckgo.com/?q=%21ducky%20striver%20takeUforward%20Buy%20and%20Sell%20with%20transaction%20fee%20solution" TargetMode="External"/><Relationship Id="rId847" Type="http://schemas.openxmlformats.org/officeDocument/2006/relationships/hyperlink" Target="https://duckduckgo.com/?q=%21ducky%20leetcode%20Longest%20Increasing%20Subsequence" TargetMode="External"/><Relationship Id="rId848" Type="http://schemas.openxmlformats.org/officeDocument/2006/relationships/hyperlink" Target="https://duckduckgo.com/?q=%21ducky%20striver%20takeUforward%20Longest%20Increasing%20Subsequence%20solution" TargetMode="External"/><Relationship Id="rId849" Type="http://schemas.openxmlformats.org/officeDocument/2006/relationships/hyperlink" Target="https://duckduckgo.com/?q=%21ducky%20leetcode%20Printing%20LIS" TargetMode="External"/><Relationship Id="rId850" Type="http://schemas.openxmlformats.org/officeDocument/2006/relationships/hyperlink" Target="https://duckduckgo.com/?q=%21ducky%20striver%20takeUforward%20Printing%20LIS%20solution" TargetMode="External"/><Relationship Id="rId851" Type="http://schemas.openxmlformats.org/officeDocument/2006/relationships/hyperlink" Target="https://duckduckgo.com/?q=%21ducky%20leetcode%20LIS%20using%20Binary%20Search" TargetMode="External"/><Relationship Id="rId852" Type="http://schemas.openxmlformats.org/officeDocument/2006/relationships/hyperlink" Target="https://duckduckgo.com/?q=%21ducky%20striver%20takeUforward%20LIS%20using%20Binary%20Search%20solution" TargetMode="External"/><Relationship Id="rId853" Type="http://schemas.openxmlformats.org/officeDocument/2006/relationships/hyperlink" Target="https://duckduckgo.com/?q=%21ducky%20leetcode%20Largest%20Divisible%20Subset" TargetMode="External"/><Relationship Id="rId854" Type="http://schemas.openxmlformats.org/officeDocument/2006/relationships/hyperlink" Target="https://duckduckgo.com/?q=%21ducky%20striver%20takeUforward%20Largest%20Divisible%20Subset%20solution" TargetMode="External"/><Relationship Id="rId855" Type="http://schemas.openxmlformats.org/officeDocument/2006/relationships/hyperlink" Target="https://duckduckgo.com/?q=%21ducky%20leetcode%20Longest%20String%20Chain" TargetMode="External"/><Relationship Id="rId856" Type="http://schemas.openxmlformats.org/officeDocument/2006/relationships/hyperlink" Target="https://duckduckgo.com/?q=%21ducky%20striver%20takeUforward%20Longest%20String%20Chain%20solution" TargetMode="External"/><Relationship Id="rId857" Type="http://schemas.openxmlformats.org/officeDocument/2006/relationships/hyperlink" Target="https://duckduckgo.com/?q=%21ducky%20leetcode%20Longest%20Bitonic%20Subsequence" TargetMode="External"/><Relationship Id="rId858" Type="http://schemas.openxmlformats.org/officeDocument/2006/relationships/hyperlink" Target="https://duckduckgo.com/?q=%21ducky%20striver%20takeUforward%20Longest%20Bitonic%20Subsequence%20solution" TargetMode="External"/><Relationship Id="rId859" Type="http://schemas.openxmlformats.org/officeDocument/2006/relationships/hyperlink" Target="https://duckduckgo.com/?q=%21ducky%20leetcode%20Number%20of%20Longest%20Increasing%20Subsequences" TargetMode="External"/><Relationship Id="rId860" Type="http://schemas.openxmlformats.org/officeDocument/2006/relationships/hyperlink" Target="https://duckduckgo.com/?q=%21ducky%20striver%20takeUforward%20Number%20of%20Longest%20Increasing%20Subsequences%20solution" TargetMode="External"/><Relationship Id="rId861" Type="http://schemas.openxmlformats.org/officeDocument/2006/relationships/hyperlink" Target="https://duckduckgo.com/?q=%21ducky%20leetcode%20Matrix%20Chain%20Multiplication" TargetMode="External"/><Relationship Id="rId862" Type="http://schemas.openxmlformats.org/officeDocument/2006/relationships/hyperlink" Target="https://duckduckgo.com/?q=%21ducky%20striver%20takeUforward%20Matrix%20Chain%20Multiplication%20solution" TargetMode="External"/><Relationship Id="rId863" Type="http://schemas.openxmlformats.org/officeDocument/2006/relationships/hyperlink" Target="https://duckduckgo.com/?q=%21ducky%20leetcode%20MCM%20%28Bottom-up%29" TargetMode="External"/><Relationship Id="rId864" Type="http://schemas.openxmlformats.org/officeDocument/2006/relationships/hyperlink" Target="https://duckduckgo.com/?q=%21ducky%20striver%20takeUforward%20MCM%20%28Bottom-up%29%20solution" TargetMode="External"/><Relationship Id="rId865" Type="http://schemas.openxmlformats.org/officeDocument/2006/relationships/hyperlink" Target="https://duckduckgo.com/?q=%21ducky%20leetcode%20Minimum%20cost%20to%20cut%20the%20stick" TargetMode="External"/><Relationship Id="rId866" Type="http://schemas.openxmlformats.org/officeDocument/2006/relationships/hyperlink" Target="https://duckduckgo.com/?q=%21ducky%20striver%20takeUforward%20Minimum%20cost%20to%20cut%20the%20stick%20solution" TargetMode="External"/><Relationship Id="rId867" Type="http://schemas.openxmlformats.org/officeDocument/2006/relationships/hyperlink" Target="https://duckduckgo.com/?q=%21ducky%20leetcode%20Burst%20Balloons" TargetMode="External"/><Relationship Id="rId868" Type="http://schemas.openxmlformats.org/officeDocument/2006/relationships/hyperlink" Target="https://duckduckgo.com/?q=%21ducky%20striver%20takeUforward%20Burst%20Balloons%20solution" TargetMode="External"/><Relationship Id="rId869" Type="http://schemas.openxmlformats.org/officeDocument/2006/relationships/hyperlink" Target="https://duckduckgo.com/?q=%21ducky%20leetcode%20Evaluate%20Boolean%20Expression%20to%20True" TargetMode="External"/><Relationship Id="rId870" Type="http://schemas.openxmlformats.org/officeDocument/2006/relationships/hyperlink" Target="https://duckduckgo.com/?q=%21ducky%20striver%20takeUforward%20Evaluate%20Boolean%20Expression%20to%20True%20solution" TargetMode="External"/><Relationship Id="rId871" Type="http://schemas.openxmlformats.org/officeDocument/2006/relationships/hyperlink" Target="https://duckduckgo.com/?q=%21ducky%20leetcode%20Palindrome%20Partitioning%20II" TargetMode="External"/><Relationship Id="rId872" Type="http://schemas.openxmlformats.org/officeDocument/2006/relationships/hyperlink" Target="https://duckduckgo.com/?q=%21ducky%20striver%20takeUforward%20Palindrome%20Partitioning%20II%20solution" TargetMode="External"/><Relationship Id="rId873" Type="http://schemas.openxmlformats.org/officeDocument/2006/relationships/hyperlink" Target="https://duckduckgo.com/?q=%21ducky%20leetcode%20Partition%20Array%20for%20Maximum%20Sum" TargetMode="External"/><Relationship Id="rId874" Type="http://schemas.openxmlformats.org/officeDocument/2006/relationships/hyperlink" Target="https://duckduckgo.com/?q=%21ducky%20striver%20takeUforward%20Partition%20Array%20for%20Maximum%20Sum%20solution" TargetMode="External"/><Relationship Id="rId875" Type="http://schemas.openxmlformats.org/officeDocument/2006/relationships/hyperlink" Target="https://duckduckgo.com/?q=%21ducky%20leetcode%20Count%20Square%20Submatrices%20with%20All%20Ones" TargetMode="External"/><Relationship Id="rId876" Type="http://schemas.openxmlformats.org/officeDocument/2006/relationships/hyperlink" Target="https://duckduckgo.com/?q=%21ducky%20striver%20takeUforward%20Count%20Square%20Submatrices%20with%20All%20Ones%20solution" TargetMode="External"/><Relationship Id="rId877" Type="http://schemas.openxmlformats.org/officeDocument/2006/relationships/hyperlink" Target="https://duckduckgo.com/?q=%21ducky%20leetcode%20Implement%20Trie%20%28Insert/Search/StartsWith%29" TargetMode="External"/><Relationship Id="rId878" Type="http://schemas.openxmlformats.org/officeDocument/2006/relationships/hyperlink" Target="https://duckduckgo.com/?q=%21ducky%20striver%20takeUforward%20Implement%20Trie%20%28Insert/Search/StartsWith%29%20solution" TargetMode="External"/><Relationship Id="rId879" Type="http://schemas.openxmlformats.org/officeDocument/2006/relationships/hyperlink" Target="https://duckduckgo.com/?q=%21ducky%20leetcode%20Implement%20Trie%20II%20%28Prefix%20Tree%29" TargetMode="External"/><Relationship Id="rId880" Type="http://schemas.openxmlformats.org/officeDocument/2006/relationships/hyperlink" Target="https://duckduckgo.com/?q=%21ducky%20striver%20takeUforward%20Implement%20Trie%20II%20%28Prefix%20Tree%29%20solution" TargetMode="External"/><Relationship Id="rId881" Type="http://schemas.openxmlformats.org/officeDocument/2006/relationships/hyperlink" Target="https://duckduckgo.com/?q=%21ducky%20leetcode%20Longest%20String%20with%20all%20prefixes" TargetMode="External"/><Relationship Id="rId882" Type="http://schemas.openxmlformats.org/officeDocument/2006/relationships/hyperlink" Target="https://duckduckgo.com/?q=%21ducky%20striver%20takeUforward%20Longest%20String%20with%20all%20prefixes%20solution" TargetMode="External"/><Relationship Id="rId883" Type="http://schemas.openxmlformats.org/officeDocument/2006/relationships/hyperlink" Target="https://duckduckgo.com/?q=%21ducky%20leetcode%20Number%20of%20Distinct%20Substrings" TargetMode="External"/><Relationship Id="rId884" Type="http://schemas.openxmlformats.org/officeDocument/2006/relationships/hyperlink" Target="https://duckduckgo.com/?q=%21ducky%20striver%20takeUforward%20Number%20of%20Distinct%20Substrings%20solution" TargetMode="External"/><Relationship Id="rId885" Type="http://schemas.openxmlformats.org/officeDocument/2006/relationships/hyperlink" Target="https://duckduckgo.com/?q=%21ducky%20leetcode%20Bit%20prerequisites%20for%20Trie" TargetMode="External"/><Relationship Id="rId886" Type="http://schemas.openxmlformats.org/officeDocument/2006/relationships/hyperlink" Target="https://duckduckgo.com/?q=%21ducky%20striver%20takeUforward%20Bit%20prerequisites%20for%20Trie%20solution" TargetMode="External"/><Relationship Id="rId887" Type="http://schemas.openxmlformats.org/officeDocument/2006/relationships/hyperlink" Target="https://duckduckgo.com/?q=%21ducky%20leetcode%20Maximum%20XOR%20of%20two%20numbers%20in%20array" TargetMode="External"/><Relationship Id="rId888" Type="http://schemas.openxmlformats.org/officeDocument/2006/relationships/hyperlink" Target="https://duckduckgo.com/?q=%21ducky%20striver%20takeUforward%20Maximum%20XOR%20of%20two%20numbers%20in%20array%20solution" TargetMode="External"/><Relationship Id="rId889" Type="http://schemas.openxmlformats.org/officeDocument/2006/relationships/hyperlink" Target="https://duckduckgo.com/?q=%21ducky%20leetcode%20Maximum%20XOR%20with%20element%20from%20array" TargetMode="External"/><Relationship Id="rId890" Type="http://schemas.openxmlformats.org/officeDocument/2006/relationships/hyperlink" Target="https://duckduckgo.com/?q=%21ducky%20striver%20takeUforward%20Maximum%20XOR%20with%20element%20from%20array%20solution" TargetMode="External"/><Relationship Id="rId891" Type="http://schemas.openxmlformats.org/officeDocument/2006/relationships/hyperlink" Target="https://duckduckgo.com/?q=%21ducky%20leetcode%20Minimum%20bracket%20reversals" TargetMode="External"/><Relationship Id="rId892" Type="http://schemas.openxmlformats.org/officeDocument/2006/relationships/hyperlink" Target="https://duckduckgo.com/?q=%21ducky%20striver%20takeUforward%20Minimum%20bracket%20reversals%20solution" TargetMode="External"/><Relationship Id="rId893" Type="http://schemas.openxmlformats.org/officeDocument/2006/relationships/hyperlink" Target="https://duckduckgo.com/?q=%21ducky%20leetcode%20Count%20and%20Say" TargetMode="External"/><Relationship Id="rId894" Type="http://schemas.openxmlformats.org/officeDocument/2006/relationships/hyperlink" Target="https://duckduckgo.com/?q=%21ducky%20striver%20takeUforward%20Count%20and%20Say%20solution" TargetMode="External"/><Relationship Id="rId895" Type="http://schemas.openxmlformats.org/officeDocument/2006/relationships/hyperlink" Target="https://duckduckgo.com/?q=%21ducky%20leetcode%20Hashing%20in%20Strings%20%28theory%29" TargetMode="External"/><Relationship Id="rId896" Type="http://schemas.openxmlformats.org/officeDocument/2006/relationships/hyperlink" Target="https://duckduckgo.com/?q=%21ducky%20striver%20takeUforward%20Hashing%20in%20Strings%20%28theory%29%20solution" TargetMode="External"/><Relationship Id="rId897" Type="http://schemas.openxmlformats.org/officeDocument/2006/relationships/hyperlink" Target="https://duckduckgo.com/?q=%21ducky%20leetcode%20Rabin%20Karp" TargetMode="External"/><Relationship Id="rId898" Type="http://schemas.openxmlformats.org/officeDocument/2006/relationships/hyperlink" Target="https://duckduckgo.com/?q=%21ducky%20striver%20takeUforward%20Rabin%20Karp%20solution" TargetMode="External"/><Relationship Id="rId899" Type="http://schemas.openxmlformats.org/officeDocument/2006/relationships/hyperlink" Target="https://duckduckgo.com/?q=%21ducky%20leetcode%20Z-Function" TargetMode="External"/><Relationship Id="rId900" Type="http://schemas.openxmlformats.org/officeDocument/2006/relationships/hyperlink" Target="https://duckduckgo.com/?q=%21ducky%20striver%20takeUforward%20Z-Function%20solution" TargetMode="External"/><Relationship Id="rId901" Type="http://schemas.openxmlformats.org/officeDocument/2006/relationships/hyperlink" Target="https://duckduckgo.com/?q=%21ducky%20leetcode%20KMP%20Algo%20/%20LPS%20array" TargetMode="External"/><Relationship Id="rId902" Type="http://schemas.openxmlformats.org/officeDocument/2006/relationships/hyperlink" Target="https://duckduckgo.com/?q=%21ducky%20striver%20takeUforward%20KMP%20Algo%20/%20LPS%20array%20solution" TargetMode="External"/><Relationship Id="rId903" Type="http://schemas.openxmlformats.org/officeDocument/2006/relationships/hyperlink" Target="https://duckduckgo.com/?q=%21ducky%20leetcode%20Shortest%20Palindrome" TargetMode="External"/><Relationship Id="rId904" Type="http://schemas.openxmlformats.org/officeDocument/2006/relationships/hyperlink" Target="https://duckduckgo.com/?q=%21ducky%20striver%20takeUforward%20Shortest%20Palindrome%20solution" TargetMode="External"/><Relationship Id="rId905" Type="http://schemas.openxmlformats.org/officeDocument/2006/relationships/hyperlink" Target="https://duckduckgo.com/?q=%21ducky%20leetcode%20Longest%20Happy%20Prefix" TargetMode="External"/><Relationship Id="rId906" Type="http://schemas.openxmlformats.org/officeDocument/2006/relationships/hyperlink" Target="https://duckduckgo.com/?q=%21ducky%20striver%20takeUforward%20Longest%20Happy%20Prefix%20solution" TargetMode="External"/><Relationship Id="rId907" Type="http://schemas.openxmlformats.org/officeDocument/2006/relationships/hyperlink" Target="https://duckduckgo.com/?q=%21ducky%20leetcode%20Count%20palindromic%20subsequences" TargetMode="External"/><Relationship Id="rId908" Type="http://schemas.openxmlformats.org/officeDocument/2006/relationships/hyperlink" Target="https://duckduckgo.com/?q=%21ducky%20striver%20takeUforward%20Count%20palindromic%20subsequences%20solution" TargetMode="External"/><Relationship Id="rId90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4.5"/>
    <col collapsed="false" customWidth="true" hidden="false" outlineLevel="0" max="5" min="5" style="0" width="6"/>
    <col collapsed="false" customWidth="true" hidden="false" outlineLevel="0" max="6" min="6" style="0" width="40"/>
    <col collapsed="false" customWidth="true" hidden="false" outlineLevel="0" max="8" min="7" style="0" width="10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3" t="s">
        <v>13</v>
      </c>
      <c r="C2" s="3" t="s">
        <v>14</v>
      </c>
      <c r="D2" s="2" t="n">
        <v>1</v>
      </c>
      <c r="E2" s="2"/>
      <c r="F2" s="4" t="s">
        <v>15</v>
      </c>
      <c r="G2" s="5" t="s">
        <v>16</v>
      </c>
      <c r="H2" s="6" t="s">
        <v>17</v>
      </c>
      <c r="I2" s="7" t="s">
        <v>18</v>
      </c>
      <c r="J2" s="2" t="s">
        <v>19</v>
      </c>
      <c r="K2" s="3"/>
      <c r="L2" s="2"/>
      <c r="M2" s="3"/>
    </row>
    <row r="3" customFormat="false" ht="15" hidden="false" customHeight="false" outlineLevel="0" collapsed="false">
      <c r="A3" s="2" t="n">
        <v>1</v>
      </c>
      <c r="B3" s="3" t="s">
        <v>13</v>
      </c>
      <c r="C3" s="3" t="s">
        <v>14</v>
      </c>
      <c r="D3" s="2" t="n">
        <v>2</v>
      </c>
      <c r="E3" s="2"/>
      <c r="F3" s="4" t="s">
        <v>20</v>
      </c>
      <c r="G3" s="5" t="s">
        <v>16</v>
      </c>
      <c r="H3" s="6" t="s">
        <v>17</v>
      </c>
      <c r="I3" s="7" t="s">
        <v>18</v>
      </c>
      <c r="J3" s="2" t="s">
        <v>19</v>
      </c>
      <c r="K3" s="3"/>
      <c r="L3" s="2"/>
      <c r="M3" s="3"/>
    </row>
    <row r="4" customFormat="false" ht="15" hidden="false" customHeight="false" outlineLevel="0" collapsed="false">
      <c r="A4" s="2" t="n">
        <v>1</v>
      </c>
      <c r="B4" s="3" t="s">
        <v>13</v>
      </c>
      <c r="C4" s="3" t="s">
        <v>14</v>
      </c>
      <c r="D4" s="2" t="n">
        <v>3</v>
      </c>
      <c r="E4" s="2"/>
      <c r="F4" s="4" t="s">
        <v>21</v>
      </c>
      <c r="G4" s="5" t="s">
        <v>16</v>
      </c>
      <c r="H4" s="6" t="s">
        <v>17</v>
      </c>
      <c r="I4" s="7" t="s">
        <v>18</v>
      </c>
      <c r="J4" s="2" t="s">
        <v>19</v>
      </c>
      <c r="K4" s="3"/>
      <c r="L4" s="2"/>
      <c r="M4" s="3"/>
    </row>
    <row r="5" customFormat="false" ht="15" hidden="false" customHeight="false" outlineLevel="0" collapsed="false">
      <c r="A5" s="2" t="n">
        <v>1</v>
      </c>
      <c r="B5" s="3" t="s">
        <v>13</v>
      </c>
      <c r="C5" s="3" t="s">
        <v>14</v>
      </c>
      <c r="D5" s="2" t="n">
        <v>4</v>
      </c>
      <c r="E5" s="2"/>
      <c r="F5" s="4" t="s">
        <v>22</v>
      </c>
      <c r="G5" s="5" t="s">
        <v>16</v>
      </c>
      <c r="H5" s="6" t="s">
        <v>17</v>
      </c>
      <c r="I5" s="7" t="s">
        <v>18</v>
      </c>
      <c r="J5" s="2" t="s">
        <v>19</v>
      </c>
      <c r="K5" s="3"/>
      <c r="L5" s="2"/>
      <c r="M5" s="3"/>
    </row>
    <row r="6" customFormat="false" ht="15" hidden="false" customHeight="false" outlineLevel="0" collapsed="false">
      <c r="A6" s="2" t="n">
        <v>1</v>
      </c>
      <c r="B6" s="3" t="s">
        <v>13</v>
      </c>
      <c r="C6" s="3" t="s">
        <v>14</v>
      </c>
      <c r="D6" s="2" t="n">
        <v>5</v>
      </c>
      <c r="E6" s="2"/>
      <c r="F6" s="4" t="s">
        <v>23</v>
      </c>
      <c r="G6" s="5" t="s">
        <v>16</v>
      </c>
      <c r="H6" s="6" t="s">
        <v>17</v>
      </c>
      <c r="I6" s="7" t="s">
        <v>18</v>
      </c>
      <c r="J6" s="2" t="s">
        <v>19</v>
      </c>
      <c r="K6" s="3"/>
      <c r="L6" s="2"/>
      <c r="M6" s="3"/>
    </row>
    <row r="7" customFormat="false" ht="15" hidden="false" customHeight="false" outlineLevel="0" collapsed="false">
      <c r="A7" s="2" t="n">
        <v>1</v>
      </c>
      <c r="B7" s="3" t="s">
        <v>13</v>
      </c>
      <c r="C7" s="3" t="s">
        <v>14</v>
      </c>
      <c r="D7" s="2" t="n">
        <v>6</v>
      </c>
      <c r="E7" s="2"/>
      <c r="F7" s="4" t="s">
        <v>24</v>
      </c>
      <c r="G7" s="5" t="s">
        <v>16</v>
      </c>
      <c r="H7" s="6" t="s">
        <v>17</v>
      </c>
      <c r="I7" s="7" t="s">
        <v>18</v>
      </c>
      <c r="J7" s="2" t="s">
        <v>19</v>
      </c>
      <c r="K7" s="3"/>
      <c r="L7" s="2"/>
      <c r="M7" s="3"/>
    </row>
    <row r="8" customFormat="false" ht="15" hidden="false" customHeight="false" outlineLevel="0" collapsed="false">
      <c r="A8" s="2" t="n">
        <v>1</v>
      </c>
      <c r="B8" s="3" t="s">
        <v>13</v>
      </c>
      <c r="C8" s="3" t="s">
        <v>14</v>
      </c>
      <c r="D8" s="2" t="n">
        <v>7</v>
      </c>
      <c r="E8" s="2"/>
      <c r="F8" s="4" t="s">
        <v>25</v>
      </c>
      <c r="G8" s="5" t="s">
        <v>16</v>
      </c>
      <c r="H8" s="6" t="s">
        <v>17</v>
      </c>
      <c r="I8" s="7" t="s">
        <v>18</v>
      </c>
      <c r="J8" s="2" t="s">
        <v>19</v>
      </c>
      <c r="K8" s="3"/>
      <c r="L8" s="2"/>
      <c r="M8" s="3"/>
    </row>
    <row r="9" customFormat="false" ht="15" hidden="false" customHeight="false" outlineLevel="0" collapsed="false">
      <c r="A9" s="2" t="n">
        <v>1</v>
      </c>
      <c r="B9" s="3" t="s">
        <v>13</v>
      </c>
      <c r="C9" s="3" t="s">
        <v>14</v>
      </c>
      <c r="D9" s="2" t="n">
        <v>8</v>
      </c>
      <c r="E9" s="2"/>
      <c r="F9" s="4" t="s">
        <v>26</v>
      </c>
      <c r="G9" s="5" t="s">
        <v>16</v>
      </c>
      <c r="H9" s="6" t="s">
        <v>17</v>
      </c>
      <c r="I9" s="7" t="s">
        <v>18</v>
      </c>
      <c r="J9" s="2" t="s">
        <v>19</v>
      </c>
      <c r="K9" s="3"/>
      <c r="L9" s="2"/>
      <c r="M9" s="3"/>
    </row>
    <row r="10" customFormat="false" ht="15" hidden="false" customHeight="false" outlineLevel="0" collapsed="false">
      <c r="A10" s="2" t="n">
        <v>1</v>
      </c>
      <c r="B10" s="3" t="s">
        <v>13</v>
      </c>
      <c r="C10" s="3" t="s">
        <v>14</v>
      </c>
      <c r="D10" s="2" t="n">
        <v>9</v>
      </c>
      <c r="E10" s="2"/>
      <c r="F10" s="4" t="s">
        <v>27</v>
      </c>
      <c r="G10" s="5" t="s">
        <v>16</v>
      </c>
      <c r="H10" s="6" t="s">
        <v>17</v>
      </c>
      <c r="I10" s="7" t="s">
        <v>18</v>
      </c>
      <c r="J10" s="2" t="s">
        <v>19</v>
      </c>
      <c r="K10" s="3"/>
      <c r="L10" s="2"/>
      <c r="M10" s="3"/>
    </row>
    <row r="11" customFormat="false" ht="15" hidden="false" customHeight="false" outlineLevel="0" collapsed="false">
      <c r="A11" s="2" t="n">
        <v>1</v>
      </c>
      <c r="B11" s="3" t="s">
        <v>13</v>
      </c>
      <c r="C11" s="3" t="s">
        <v>28</v>
      </c>
      <c r="D11" s="2" t="n">
        <v>10</v>
      </c>
      <c r="E11" s="2"/>
      <c r="F11" s="4" t="s">
        <v>29</v>
      </c>
      <c r="G11" s="5" t="s">
        <v>16</v>
      </c>
      <c r="H11" s="6" t="s">
        <v>17</v>
      </c>
      <c r="I11" s="7" t="s">
        <v>18</v>
      </c>
      <c r="J11" s="2" t="s">
        <v>19</v>
      </c>
      <c r="K11" s="3"/>
      <c r="L11" s="2"/>
      <c r="M11" s="3"/>
    </row>
    <row r="12" customFormat="false" ht="15" hidden="false" customHeight="false" outlineLevel="0" collapsed="false">
      <c r="A12" s="2" t="n">
        <v>1</v>
      </c>
      <c r="B12" s="3" t="s">
        <v>13</v>
      </c>
      <c r="C12" s="3" t="s">
        <v>30</v>
      </c>
      <c r="D12" s="2" t="n">
        <v>11</v>
      </c>
      <c r="E12" s="2"/>
      <c r="F12" s="4" t="s">
        <v>31</v>
      </c>
      <c r="G12" s="5" t="s">
        <v>16</v>
      </c>
      <c r="H12" s="6" t="s">
        <v>17</v>
      </c>
      <c r="I12" s="7" t="s">
        <v>18</v>
      </c>
      <c r="J12" s="2" t="s">
        <v>19</v>
      </c>
      <c r="K12" s="3"/>
      <c r="L12" s="2"/>
      <c r="M12" s="3"/>
    </row>
    <row r="13" customFormat="false" ht="15" hidden="false" customHeight="false" outlineLevel="0" collapsed="false">
      <c r="A13" s="2" t="n">
        <v>1</v>
      </c>
      <c r="B13" s="3" t="s">
        <v>13</v>
      </c>
      <c r="C13" s="3" t="s">
        <v>30</v>
      </c>
      <c r="D13" s="2" t="n">
        <v>12</v>
      </c>
      <c r="E13" s="2"/>
      <c r="F13" s="4" t="s">
        <v>32</v>
      </c>
      <c r="G13" s="5" t="s">
        <v>16</v>
      </c>
      <c r="H13" s="6" t="s">
        <v>17</v>
      </c>
      <c r="I13" s="7" t="s">
        <v>18</v>
      </c>
      <c r="J13" s="2" t="s">
        <v>19</v>
      </c>
      <c r="K13" s="3"/>
      <c r="L13" s="2"/>
      <c r="M13" s="3"/>
    </row>
    <row r="14" customFormat="false" ht="15" hidden="false" customHeight="false" outlineLevel="0" collapsed="false">
      <c r="A14" s="2" t="n">
        <v>1</v>
      </c>
      <c r="B14" s="3" t="s">
        <v>13</v>
      </c>
      <c r="C14" s="3" t="s">
        <v>33</v>
      </c>
      <c r="D14" s="2" t="n">
        <v>13</v>
      </c>
      <c r="E14" s="2"/>
      <c r="F14" s="4" t="s">
        <v>34</v>
      </c>
      <c r="G14" s="5" t="s">
        <v>16</v>
      </c>
      <c r="H14" s="6" t="s">
        <v>17</v>
      </c>
      <c r="I14" s="7" t="s">
        <v>18</v>
      </c>
      <c r="J14" s="2" t="s">
        <v>19</v>
      </c>
      <c r="K14" s="3"/>
      <c r="L14" s="2"/>
      <c r="M14" s="3"/>
    </row>
    <row r="15" customFormat="false" ht="15" hidden="false" customHeight="false" outlineLevel="0" collapsed="false">
      <c r="A15" s="2" t="n">
        <v>1</v>
      </c>
      <c r="B15" s="3" t="s">
        <v>13</v>
      </c>
      <c r="C15" s="3" t="s">
        <v>33</v>
      </c>
      <c r="D15" s="2" t="n">
        <v>14</v>
      </c>
      <c r="E15" s="2"/>
      <c r="F15" s="4" t="s">
        <v>35</v>
      </c>
      <c r="G15" s="5" t="s">
        <v>16</v>
      </c>
      <c r="H15" s="6" t="s">
        <v>17</v>
      </c>
      <c r="I15" s="7" t="s">
        <v>18</v>
      </c>
      <c r="J15" s="2" t="s">
        <v>19</v>
      </c>
      <c r="K15" s="3"/>
      <c r="L15" s="2"/>
      <c r="M15" s="3"/>
    </row>
    <row r="16" customFormat="false" ht="15" hidden="false" customHeight="false" outlineLevel="0" collapsed="false">
      <c r="A16" s="2" t="n">
        <v>1</v>
      </c>
      <c r="B16" s="3" t="s">
        <v>13</v>
      </c>
      <c r="C16" s="3" t="s">
        <v>33</v>
      </c>
      <c r="D16" s="2" t="n">
        <v>15</v>
      </c>
      <c r="E16" s="2"/>
      <c r="F16" s="4" t="s">
        <v>36</v>
      </c>
      <c r="G16" s="5" t="s">
        <v>16</v>
      </c>
      <c r="H16" s="6" t="s">
        <v>17</v>
      </c>
      <c r="I16" s="7" t="s">
        <v>18</v>
      </c>
      <c r="J16" s="2" t="s">
        <v>19</v>
      </c>
      <c r="K16" s="3"/>
      <c r="L16" s="2"/>
      <c r="M16" s="3"/>
    </row>
    <row r="17" customFormat="false" ht="15" hidden="false" customHeight="false" outlineLevel="0" collapsed="false">
      <c r="A17" s="2" t="n">
        <v>1</v>
      </c>
      <c r="B17" s="3" t="s">
        <v>13</v>
      </c>
      <c r="C17" s="3" t="s">
        <v>33</v>
      </c>
      <c r="D17" s="2" t="n">
        <v>16</v>
      </c>
      <c r="E17" s="2"/>
      <c r="F17" s="4" t="s">
        <v>37</v>
      </c>
      <c r="G17" s="5" t="s">
        <v>16</v>
      </c>
      <c r="H17" s="6" t="s">
        <v>17</v>
      </c>
      <c r="I17" s="7" t="s">
        <v>18</v>
      </c>
      <c r="J17" s="2" t="s">
        <v>19</v>
      </c>
      <c r="K17" s="3"/>
      <c r="L17" s="2"/>
      <c r="M17" s="3"/>
    </row>
    <row r="18" customFormat="false" ht="15" hidden="false" customHeight="false" outlineLevel="0" collapsed="false">
      <c r="A18" s="2" t="n">
        <v>1</v>
      </c>
      <c r="B18" s="3" t="s">
        <v>13</v>
      </c>
      <c r="C18" s="3" t="s">
        <v>33</v>
      </c>
      <c r="D18" s="2" t="n">
        <v>17</v>
      </c>
      <c r="E18" s="2"/>
      <c r="F18" s="4" t="s">
        <v>38</v>
      </c>
      <c r="G18" s="5" t="s">
        <v>16</v>
      </c>
      <c r="H18" s="6" t="s">
        <v>17</v>
      </c>
      <c r="I18" s="7" t="s">
        <v>18</v>
      </c>
      <c r="J18" s="2" t="s">
        <v>19</v>
      </c>
      <c r="K18" s="3"/>
      <c r="L18" s="2"/>
      <c r="M18" s="3"/>
    </row>
    <row r="19" customFormat="false" ht="15" hidden="false" customHeight="false" outlineLevel="0" collapsed="false">
      <c r="A19" s="2" t="n">
        <v>1</v>
      </c>
      <c r="B19" s="3" t="s">
        <v>13</v>
      </c>
      <c r="C19" s="3" t="s">
        <v>33</v>
      </c>
      <c r="D19" s="2" t="n">
        <v>18</v>
      </c>
      <c r="E19" s="2"/>
      <c r="F19" s="4" t="s">
        <v>39</v>
      </c>
      <c r="G19" s="5" t="s">
        <v>16</v>
      </c>
      <c r="H19" s="6" t="s">
        <v>17</v>
      </c>
      <c r="I19" s="7" t="s">
        <v>18</v>
      </c>
      <c r="J19" s="2" t="s">
        <v>19</v>
      </c>
      <c r="K19" s="3"/>
      <c r="L19" s="2"/>
      <c r="M19" s="3"/>
    </row>
    <row r="20" customFormat="false" ht="15" hidden="false" customHeight="false" outlineLevel="0" collapsed="false">
      <c r="A20" s="2" t="n">
        <v>1</v>
      </c>
      <c r="B20" s="3" t="s">
        <v>13</v>
      </c>
      <c r="C20" s="3" t="s">
        <v>33</v>
      </c>
      <c r="D20" s="2" t="n">
        <v>19</v>
      </c>
      <c r="E20" s="2"/>
      <c r="F20" s="4" t="s">
        <v>40</v>
      </c>
      <c r="G20" s="5" t="s">
        <v>16</v>
      </c>
      <c r="H20" s="6" t="s">
        <v>17</v>
      </c>
      <c r="I20" s="7" t="s">
        <v>18</v>
      </c>
      <c r="J20" s="2" t="s">
        <v>19</v>
      </c>
      <c r="K20" s="3"/>
      <c r="L20" s="2"/>
      <c r="M20" s="3"/>
    </row>
    <row r="21" customFormat="false" ht="15" hidden="false" customHeight="false" outlineLevel="0" collapsed="false">
      <c r="A21" s="2" t="n">
        <v>1</v>
      </c>
      <c r="B21" s="3" t="s">
        <v>13</v>
      </c>
      <c r="C21" s="3" t="s">
        <v>41</v>
      </c>
      <c r="D21" s="2" t="n">
        <v>20</v>
      </c>
      <c r="E21" s="2"/>
      <c r="F21" s="4" t="s">
        <v>42</v>
      </c>
      <c r="G21" s="5" t="s">
        <v>16</v>
      </c>
      <c r="H21" s="6" t="s">
        <v>17</v>
      </c>
      <c r="I21" s="7" t="s">
        <v>18</v>
      </c>
      <c r="J21" s="2" t="s">
        <v>19</v>
      </c>
      <c r="K21" s="3"/>
      <c r="L21" s="2"/>
      <c r="M21" s="3"/>
    </row>
    <row r="22" customFormat="false" ht="15" hidden="false" customHeight="false" outlineLevel="0" collapsed="false">
      <c r="A22" s="2" t="n">
        <v>1</v>
      </c>
      <c r="B22" s="3" t="s">
        <v>13</v>
      </c>
      <c r="C22" s="3" t="s">
        <v>41</v>
      </c>
      <c r="D22" s="2" t="n">
        <v>21</v>
      </c>
      <c r="E22" s="2"/>
      <c r="F22" s="4" t="s">
        <v>43</v>
      </c>
      <c r="G22" s="5" t="s">
        <v>16</v>
      </c>
      <c r="H22" s="6" t="s">
        <v>17</v>
      </c>
      <c r="I22" s="7" t="s">
        <v>18</v>
      </c>
      <c r="J22" s="2" t="s">
        <v>19</v>
      </c>
      <c r="K22" s="3"/>
      <c r="L22" s="2"/>
      <c r="M22" s="3"/>
    </row>
    <row r="23" customFormat="false" ht="15" hidden="false" customHeight="false" outlineLevel="0" collapsed="false">
      <c r="A23" s="2" t="n">
        <v>1</v>
      </c>
      <c r="B23" s="3" t="s">
        <v>13</v>
      </c>
      <c r="C23" s="3" t="s">
        <v>41</v>
      </c>
      <c r="D23" s="2" t="n">
        <v>22</v>
      </c>
      <c r="E23" s="2"/>
      <c r="F23" s="4" t="s">
        <v>44</v>
      </c>
      <c r="G23" s="5" t="s">
        <v>16</v>
      </c>
      <c r="H23" s="6" t="s">
        <v>17</v>
      </c>
      <c r="I23" s="7" t="s">
        <v>18</v>
      </c>
      <c r="J23" s="2" t="s">
        <v>19</v>
      </c>
      <c r="K23" s="3"/>
      <c r="L23" s="2"/>
      <c r="M23" s="3"/>
    </row>
    <row r="24" customFormat="false" ht="15" hidden="false" customHeight="false" outlineLevel="0" collapsed="false">
      <c r="A24" s="2" t="n">
        <v>1</v>
      </c>
      <c r="B24" s="3" t="s">
        <v>13</v>
      </c>
      <c r="C24" s="3" t="s">
        <v>41</v>
      </c>
      <c r="D24" s="2" t="n">
        <v>23</v>
      </c>
      <c r="E24" s="2"/>
      <c r="F24" s="4" t="s">
        <v>45</v>
      </c>
      <c r="G24" s="5" t="s">
        <v>16</v>
      </c>
      <c r="H24" s="6" t="s">
        <v>17</v>
      </c>
      <c r="I24" s="7" t="s">
        <v>18</v>
      </c>
      <c r="J24" s="2" t="s">
        <v>19</v>
      </c>
      <c r="K24" s="3"/>
      <c r="L24" s="2"/>
      <c r="M24" s="3"/>
    </row>
    <row r="25" customFormat="false" ht="15" hidden="false" customHeight="false" outlineLevel="0" collapsed="false">
      <c r="A25" s="2" t="n">
        <v>1</v>
      </c>
      <c r="B25" s="3" t="s">
        <v>13</v>
      </c>
      <c r="C25" s="3" t="s">
        <v>41</v>
      </c>
      <c r="D25" s="2" t="n">
        <v>24</v>
      </c>
      <c r="E25" s="2"/>
      <c r="F25" s="4" t="s">
        <v>46</v>
      </c>
      <c r="G25" s="5" t="s">
        <v>16</v>
      </c>
      <c r="H25" s="6" t="s">
        <v>17</v>
      </c>
      <c r="I25" s="7" t="s">
        <v>18</v>
      </c>
      <c r="J25" s="2" t="s">
        <v>19</v>
      </c>
      <c r="K25" s="3"/>
      <c r="L25" s="2"/>
      <c r="M25" s="3"/>
    </row>
    <row r="26" customFormat="false" ht="15" hidden="false" customHeight="false" outlineLevel="0" collapsed="false">
      <c r="A26" s="2" t="n">
        <v>1</v>
      </c>
      <c r="B26" s="3" t="s">
        <v>13</v>
      </c>
      <c r="C26" s="3" t="s">
        <v>41</v>
      </c>
      <c r="D26" s="2" t="n">
        <v>25</v>
      </c>
      <c r="E26" s="2"/>
      <c r="F26" s="4" t="s">
        <v>47</v>
      </c>
      <c r="G26" s="5" t="s">
        <v>16</v>
      </c>
      <c r="H26" s="6" t="s">
        <v>17</v>
      </c>
      <c r="I26" s="7" t="s">
        <v>18</v>
      </c>
      <c r="J26" s="2" t="s">
        <v>19</v>
      </c>
      <c r="K26" s="3"/>
      <c r="L26" s="2"/>
      <c r="M26" s="3"/>
    </row>
    <row r="27" customFormat="false" ht="15" hidden="false" customHeight="false" outlineLevel="0" collapsed="false">
      <c r="A27" s="2" t="n">
        <v>1</v>
      </c>
      <c r="B27" s="3" t="s">
        <v>13</v>
      </c>
      <c r="C27" s="3" t="s">
        <v>41</v>
      </c>
      <c r="D27" s="2" t="n">
        <v>26</v>
      </c>
      <c r="E27" s="2"/>
      <c r="F27" s="4" t="s">
        <v>48</v>
      </c>
      <c r="G27" s="5" t="s">
        <v>16</v>
      </c>
      <c r="H27" s="6" t="s">
        <v>17</v>
      </c>
      <c r="I27" s="7" t="s">
        <v>18</v>
      </c>
      <c r="J27" s="2" t="s">
        <v>19</v>
      </c>
      <c r="K27" s="3"/>
      <c r="L27" s="2"/>
      <c r="M27" s="3"/>
    </row>
    <row r="28" customFormat="false" ht="15" hidden="false" customHeight="false" outlineLevel="0" collapsed="false">
      <c r="A28" s="2" t="n">
        <v>1</v>
      </c>
      <c r="B28" s="3" t="s">
        <v>13</v>
      </c>
      <c r="C28" s="3" t="s">
        <v>41</v>
      </c>
      <c r="D28" s="2" t="n">
        <v>27</v>
      </c>
      <c r="E28" s="2"/>
      <c r="F28" s="4" t="s">
        <v>49</v>
      </c>
      <c r="G28" s="5" t="s">
        <v>16</v>
      </c>
      <c r="H28" s="6" t="s">
        <v>17</v>
      </c>
      <c r="I28" s="7" t="s">
        <v>18</v>
      </c>
      <c r="J28" s="2" t="s">
        <v>19</v>
      </c>
      <c r="K28" s="3"/>
      <c r="L28" s="2"/>
      <c r="M28" s="3"/>
    </row>
    <row r="29" customFormat="false" ht="15" hidden="false" customHeight="false" outlineLevel="0" collapsed="false">
      <c r="A29" s="2" t="n">
        <v>1</v>
      </c>
      <c r="B29" s="3" t="s">
        <v>13</v>
      </c>
      <c r="C29" s="3" t="s">
        <v>41</v>
      </c>
      <c r="D29" s="2" t="n">
        <v>28</v>
      </c>
      <c r="E29" s="2"/>
      <c r="F29" s="4" t="s">
        <v>50</v>
      </c>
      <c r="G29" s="5" t="s">
        <v>16</v>
      </c>
      <c r="H29" s="6" t="s">
        <v>17</v>
      </c>
      <c r="I29" s="7" t="s">
        <v>18</v>
      </c>
      <c r="J29" s="2" t="s">
        <v>19</v>
      </c>
      <c r="K29" s="3"/>
      <c r="L29" s="2"/>
      <c r="M29" s="3"/>
    </row>
    <row r="30" customFormat="false" ht="15" hidden="false" customHeight="false" outlineLevel="0" collapsed="false">
      <c r="A30" s="2" t="n">
        <v>1</v>
      </c>
      <c r="B30" s="3" t="s">
        <v>13</v>
      </c>
      <c r="C30" s="3" t="s">
        <v>51</v>
      </c>
      <c r="D30" s="2" t="n">
        <v>29</v>
      </c>
      <c r="E30" s="2"/>
      <c r="F30" s="4" t="s">
        <v>52</v>
      </c>
      <c r="G30" s="5" t="s">
        <v>16</v>
      </c>
      <c r="H30" s="6" t="s">
        <v>17</v>
      </c>
      <c r="I30" s="7" t="s">
        <v>18</v>
      </c>
      <c r="J30" s="2" t="s">
        <v>19</v>
      </c>
      <c r="K30" s="3"/>
      <c r="L30" s="2"/>
      <c r="M30" s="3"/>
    </row>
    <row r="31" customFormat="false" ht="15" hidden="false" customHeight="false" outlineLevel="0" collapsed="false">
      <c r="A31" s="2" t="n">
        <v>1</v>
      </c>
      <c r="B31" s="3" t="s">
        <v>13</v>
      </c>
      <c r="C31" s="3" t="s">
        <v>51</v>
      </c>
      <c r="D31" s="2" t="n">
        <v>30</v>
      </c>
      <c r="E31" s="2"/>
      <c r="F31" s="4" t="s">
        <v>53</v>
      </c>
      <c r="G31" s="5" t="s">
        <v>16</v>
      </c>
      <c r="H31" s="6" t="s">
        <v>17</v>
      </c>
      <c r="I31" s="7" t="s">
        <v>18</v>
      </c>
      <c r="J31" s="2" t="s">
        <v>19</v>
      </c>
      <c r="K31" s="3"/>
      <c r="L31" s="2"/>
      <c r="M31" s="3"/>
    </row>
    <row r="32" customFormat="false" ht="15" hidden="false" customHeight="false" outlineLevel="0" collapsed="false">
      <c r="A32" s="2" t="n">
        <v>1</v>
      </c>
      <c r="B32" s="3" t="s">
        <v>13</v>
      </c>
      <c r="C32" s="3" t="s">
        <v>51</v>
      </c>
      <c r="D32" s="2" t="n">
        <v>31</v>
      </c>
      <c r="E32" s="2"/>
      <c r="F32" s="4" t="s">
        <v>54</v>
      </c>
      <c r="G32" s="5" t="s">
        <v>16</v>
      </c>
      <c r="H32" s="6" t="s">
        <v>17</v>
      </c>
      <c r="I32" s="7" t="s">
        <v>18</v>
      </c>
      <c r="J32" s="2" t="s">
        <v>19</v>
      </c>
      <c r="K32" s="3"/>
      <c r="L32" s="2"/>
      <c r="M32" s="3"/>
    </row>
    <row r="33" customFormat="false" ht="15" hidden="false" customHeight="false" outlineLevel="0" collapsed="false">
      <c r="A33" s="2" t="n">
        <v>2</v>
      </c>
      <c r="B33" s="3" t="s">
        <v>55</v>
      </c>
      <c r="C33" s="3" t="s">
        <v>56</v>
      </c>
      <c r="D33" s="2" t="n">
        <v>32</v>
      </c>
      <c r="E33" s="2"/>
      <c r="F33" s="4" t="s">
        <v>57</v>
      </c>
      <c r="G33" s="5" t="s">
        <v>16</v>
      </c>
      <c r="H33" s="6" t="s">
        <v>17</v>
      </c>
      <c r="I33" s="7" t="s">
        <v>18</v>
      </c>
      <c r="J33" s="2" t="s">
        <v>19</v>
      </c>
      <c r="K33" s="3"/>
      <c r="L33" s="2"/>
      <c r="M33" s="3"/>
    </row>
    <row r="34" customFormat="false" ht="15" hidden="false" customHeight="false" outlineLevel="0" collapsed="false">
      <c r="A34" s="2" t="n">
        <v>2</v>
      </c>
      <c r="B34" s="3" t="s">
        <v>55</v>
      </c>
      <c r="C34" s="3" t="s">
        <v>56</v>
      </c>
      <c r="D34" s="2" t="n">
        <v>33</v>
      </c>
      <c r="E34" s="2"/>
      <c r="F34" s="4" t="s">
        <v>58</v>
      </c>
      <c r="G34" s="5" t="s">
        <v>16</v>
      </c>
      <c r="H34" s="6" t="s">
        <v>17</v>
      </c>
      <c r="I34" s="7" t="s">
        <v>18</v>
      </c>
      <c r="J34" s="2" t="s">
        <v>19</v>
      </c>
      <c r="K34" s="3"/>
      <c r="L34" s="2"/>
      <c r="M34" s="3"/>
    </row>
    <row r="35" customFormat="false" ht="15" hidden="false" customHeight="false" outlineLevel="0" collapsed="false">
      <c r="A35" s="2" t="n">
        <v>2</v>
      </c>
      <c r="B35" s="3" t="s">
        <v>55</v>
      </c>
      <c r="C35" s="3" t="s">
        <v>56</v>
      </c>
      <c r="D35" s="2" t="n">
        <v>34</v>
      </c>
      <c r="E35" s="2"/>
      <c r="F35" s="4" t="s">
        <v>59</v>
      </c>
      <c r="G35" s="5" t="s">
        <v>16</v>
      </c>
      <c r="H35" s="6" t="s">
        <v>17</v>
      </c>
      <c r="I35" s="7" t="s">
        <v>18</v>
      </c>
      <c r="J35" s="2" t="s">
        <v>19</v>
      </c>
      <c r="K35" s="3"/>
      <c r="L35" s="2"/>
      <c r="M35" s="3"/>
    </row>
    <row r="36" customFormat="false" ht="15" hidden="false" customHeight="false" outlineLevel="0" collapsed="false">
      <c r="A36" s="2" t="n">
        <v>2</v>
      </c>
      <c r="B36" s="3" t="s">
        <v>55</v>
      </c>
      <c r="C36" s="3" t="s">
        <v>60</v>
      </c>
      <c r="D36" s="2" t="n">
        <v>35</v>
      </c>
      <c r="E36" s="2"/>
      <c r="F36" s="4" t="s">
        <v>61</v>
      </c>
      <c r="G36" s="8" t="s">
        <v>62</v>
      </c>
      <c r="H36" s="6" t="s">
        <v>17</v>
      </c>
      <c r="I36" s="7" t="s">
        <v>18</v>
      </c>
      <c r="J36" s="2" t="s">
        <v>19</v>
      </c>
      <c r="K36" s="3"/>
      <c r="L36" s="2"/>
      <c r="M36" s="3"/>
    </row>
    <row r="37" customFormat="false" ht="15" hidden="false" customHeight="false" outlineLevel="0" collapsed="false">
      <c r="A37" s="2" t="n">
        <v>2</v>
      </c>
      <c r="B37" s="3" t="s">
        <v>55</v>
      </c>
      <c r="C37" s="3" t="s">
        <v>60</v>
      </c>
      <c r="D37" s="2" t="n">
        <v>36</v>
      </c>
      <c r="E37" s="2"/>
      <c r="F37" s="4" t="s">
        <v>63</v>
      </c>
      <c r="G37" s="5" t="s">
        <v>16</v>
      </c>
      <c r="H37" s="6" t="s">
        <v>17</v>
      </c>
      <c r="I37" s="7" t="s">
        <v>18</v>
      </c>
      <c r="J37" s="2" t="s">
        <v>19</v>
      </c>
      <c r="K37" s="3"/>
      <c r="L37" s="2"/>
      <c r="M37" s="3"/>
    </row>
    <row r="38" customFormat="false" ht="15" hidden="false" customHeight="false" outlineLevel="0" collapsed="false">
      <c r="A38" s="2" t="n">
        <v>2</v>
      </c>
      <c r="B38" s="3" t="s">
        <v>55</v>
      </c>
      <c r="C38" s="3" t="s">
        <v>60</v>
      </c>
      <c r="D38" s="2" t="n">
        <v>37</v>
      </c>
      <c r="E38" s="2"/>
      <c r="F38" s="4" t="s">
        <v>64</v>
      </c>
      <c r="G38" s="5" t="s">
        <v>16</v>
      </c>
      <c r="H38" s="6" t="s">
        <v>17</v>
      </c>
      <c r="I38" s="7" t="s">
        <v>18</v>
      </c>
      <c r="J38" s="2" t="s">
        <v>19</v>
      </c>
      <c r="K38" s="3"/>
      <c r="L38" s="2"/>
      <c r="M38" s="3"/>
    </row>
    <row r="39" customFormat="false" ht="15" hidden="false" customHeight="false" outlineLevel="0" collapsed="false">
      <c r="A39" s="2" t="n">
        <v>2</v>
      </c>
      <c r="B39" s="3" t="s">
        <v>55</v>
      </c>
      <c r="C39" s="3" t="s">
        <v>60</v>
      </c>
      <c r="D39" s="2" t="n">
        <v>38</v>
      </c>
      <c r="E39" s="2"/>
      <c r="F39" s="4" t="s">
        <v>65</v>
      </c>
      <c r="G39" s="8" t="s">
        <v>62</v>
      </c>
      <c r="H39" s="6" t="s">
        <v>17</v>
      </c>
      <c r="I39" s="7" t="s">
        <v>18</v>
      </c>
      <c r="J39" s="2" t="s">
        <v>19</v>
      </c>
      <c r="K39" s="3"/>
      <c r="L39" s="2"/>
      <c r="M39" s="3"/>
    </row>
    <row r="40" customFormat="false" ht="15" hidden="false" customHeight="false" outlineLevel="0" collapsed="false">
      <c r="A40" s="2" t="n">
        <v>3</v>
      </c>
      <c r="B40" s="3" t="s">
        <v>66</v>
      </c>
      <c r="C40" s="3" t="s">
        <v>67</v>
      </c>
      <c r="D40" s="2" t="n">
        <v>39</v>
      </c>
      <c r="E40" s="2"/>
      <c r="F40" s="4" t="s">
        <v>68</v>
      </c>
      <c r="G40" s="5" t="s">
        <v>16</v>
      </c>
      <c r="H40" s="6" t="s">
        <v>17</v>
      </c>
      <c r="I40" s="7" t="s">
        <v>18</v>
      </c>
      <c r="J40" s="2" t="s">
        <v>19</v>
      </c>
      <c r="K40" s="3"/>
      <c r="L40" s="2"/>
      <c r="M40" s="3"/>
    </row>
    <row r="41" customFormat="false" ht="15" hidden="false" customHeight="false" outlineLevel="0" collapsed="false">
      <c r="A41" s="2" t="n">
        <v>3</v>
      </c>
      <c r="B41" s="3" t="s">
        <v>66</v>
      </c>
      <c r="C41" s="3" t="s">
        <v>67</v>
      </c>
      <c r="D41" s="2" t="n">
        <v>40</v>
      </c>
      <c r="E41" s="2"/>
      <c r="F41" s="4" t="s">
        <v>69</v>
      </c>
      <c r="G41" s="5" t="s">
        <v>16</v>
      </c>
      <c r="H41" s="6" t="s">
        <v>17</v>
      </c>
      <c r="I41" s="7" t="s">
        <v>18</v>
      </c>
      <c r="J41" s="2" t="s">
        <v>19</v>
      </c>
      <c r="K41" s="3"/>
      <c r="L41" s="2"/>
      <c r="M41" s="3"/>
    </row>
    <row r="42" customFormat="false" ht="15" hidden="false" customHeight="false" outlineLevel="0" collapsed="false">
      <c r="A42" s="2" t="n">
        <v>3</v>
      </c>
      <c r="B42" s="3" t="s">
        <v>66</v>
      </c>
      <c r="C42" s="3" t="s">
        <v>67</v>
      </c>
      <c r="D42" s="2" t="n">
        <v>41</v>
      </c>
      <c r="E42" s="2"/>
      <c r="F42" s="4" t="s">
        <v>70</v>
      </c>
      <c r="G42" s="5" t="s">
        <v>16</v>
      </c>
      <c r="H42" s="6" t="s">
        <v>17</v>
      </c>
      <c r="I42" s="7" t="s">
        <v>18</v>
      </c>
      <c r="J42" s="2" t="s">
        <v>19</v>
      </c>
      <c r="K42" s="3"/>
      <c r="L42" s="2"/>
      <c r="M42" s="3"/>
    </row>
    <row r="43" customFormat="false" ht="15" hidden="false" customHeight="false" outlineLevel="0" collapsed="false">
      <c r="A43" s="2" t="n">
        <v>3</v>
      </c>
      <c r="B43" s="3" t="s">
        <v>66</v>
      </c>
      <c r="C43" s="3" t="s">
        <v>67</v>
      </c>
      <c r="D43" s="2" t="n">
        <v>42</v>
      </c>
      <c r="E43" s="2"/>
      <c r="F43" s="4" t="s">
        <v>71</v>
      </c>
      <c r="G43" s="5" t="s">
        <v>16</v>
      </c>
      <c r="H43" s="6" t="s">
        <v>17</v>
      </c>
      <c r="I43" s="7" t="s">
        <v>18</v>
      </c>
      <c r="J43" s="2" t="s">
        <v>19</v>
      </c>
      <c r="K43" s="3"/>
      <c r="L43" s="2"/>
      <c r="M43" s="3"/>
    </row>
    <row r="44" customFormat="false" ht="15" hidden="false" customHeight="false" outlineLevel="0" collapsed="false">
      <c r="A44" s="2" t="n">
        <v>3</v>
      </c>
      <c r="B44" s="3" t="s">
        <v>66</v>
      </c>
      <c r="C44" s="3" t="s">
        <v>67</v>
      </c>
      <c r="D44" s="2" t="n">
        <v>43</v>
      </c>
      <c r="E44" s="2"/>
      <c r="F44" s="4" t="s">
        <v>72</v>
      </c>
      <c r="G44" s="5" t="s">
        <v>16</v>
      </c>
      <c r="H44" s="6" t="s">
        <v>17</v>
      </c>
      <c r="I44" s="7" t="s">
        <v>18</v>
      </c>
      <c r="J44" s="2" t="s">
        <v>19</v>
      </c>
      <c r="K44" s="3"/>
      <c r="L44" s="2"/>
      <c r="M44" s="3"/>
    </row>
    <row r="45" customFormat="false" ht="15" hidden="false" customHeight="false" outlineLevel="0" collapsed="false">
      <c r="A45" s="2" t="n">
        <v>3</v>
      </c>
      <c r="B45" s="3" t="s">
        <v>66</v>
      </c>
      <c r="C45" s="3" t="s">
        <v>67</v>
      </c>
      <c r="D45" s="2" t="n">
        <v>44</v>
      </c>
      <c r="E45" s="2"/>
      <c r="F45" s="4" t="s">
        <v>73</v>
      </c>
      <c r="G45" s="5" t="s">
        <v>16</v>
      </c>
      <c r="H45" s="6" t="s">
        <v>17</v>
      </c>
      <c r="I45" s="7" t="s">
        <v>18</v>
      </c>
      <c r="J45" s="2" t="s">
        <v>19</v>
      </c>
      <c r="K45" s="3"/>
      <c r="L45" s="2"/>
      <c r="M45" s="3"/>
    </row>
    <row r="46" customFormat="false" ht="15" hidden="false" customHeight="false" outlineLevel="0" collapsed="false">
      <c r="A46" s="2" t="n">
        <v>3</v>
      </c>
      <c r="B46" s="3" t="s">
        <v>66</v>
      </c>
      <c r="C46" s="3" t="s">
        <v>67</v>
      </c>
      <c r="D46" s="2" t="n">
        <v>45</v>
      </c>
      <c r="E46" s="2"/>
      <c r="F46" s="4" t="s">
        <v>74</v>
      </c>
      <c r="G46" s="5" t="s">
        <v>16</v>
      </c>
      <c r="H46" s="6" t="s">
        <v>17</v>
      </c>
      <c r="I46" s="7" t="s">
        <v>18</v>
      </c>
      <c r="J46" s="2" t="s">
        <v>19</v>
      </c>
      <c r="K46" s="3"/>
      <c r="L46" s="2"/>
      <c r="M46" s="3"/>
    </row>
    <row r="47" customFormat="false" ht="15" hidden="false" customHeight="false" outlineLevel="0" collapsed="false">
      <c r="A47" s="2" t="n">
        <v>3</v>
      </c>
      <c r="B47" s="3" t="s">
        <v>66</v>
      </c>
      <c r="C47" s="3" t="s">
        <v>67</v>
      </c>
      <c r="D47" s="2" t="n">
        <v>46</v>
      </c>
      <c r="E47" s="2"/>
      <c r="F47" s="4" t="s">
        <v>75</v>
      </c>
      <c r="G47" s="5" t="s">
        <v>16</v>
      </c>
      <c r="H47" s="6" t="s">
        <v>17</v>
      </c>
      <c r="I47" s="7" t="s">
        <v>18</v>
      </c>
      <c r="J47" s="2" t="s">
        <v>19</v>
      </c>
      <c r="K47" s="3"/>
      <c r="L47" s="2"/>
      <c r="M47" s="3"/>
    </row>
    <row r="48" customFormat="false" ht="15" hidden="false" customHeight="false" outlineLevel="0" collapsed="false">
      <c r="A48" s="2" t="n">
        <v>3</v>
      </c>
      <c r="B48" s="3" t="s">
        <v>66</v>
      </c>
      <c r="C48" s="3" t="s">
        <v>67</v>
      </c>
      <c r="D48" s="2" t="n">
        <v>47</v>
      </c>
      <c r="E48" s="2"/>
      <c r="F48" s="4" t="s">
        <v>76</v>
      </c>
      <c r="G48" s="5" t="s">
        <v>16</v>
      </c>
      <c r="H48" s="6" t="s">
        <v>17</v>
      </c>
      <c r="I48" s="7" t="s">
        <v>18</v>
      </c>
      <c r="J48" s="2" t="s">
        <v>19</v>
      </c>
      <c r="K48" s="3"/>
      <c r="L48" s="2"/>
      <c r="M48" s="3"/>
    </row>
    <row r="49" customFormat="false" ht="15" hidden="false" customHeight="false" outlineLevel="0" collapsed="false">
      <c r="A49" s="2" t="n">
        <v>3</v>
      </c>
      <c r="B49" s="3" t="s">
        <v>66</v>
      </c>
      <c r="C49" s="3" t="s">
        <v>67</v>
      </c>
      <c r="D49" s="2" t="n">
        <v>48</v>
      </c>
      <c r="E49" s="2"/>
      <c r="F49" s="4" t="s">
        <v>77</v>
      </c>
      <c r="G49" s="5" t="s">
        <v>16</v>
      </c>
      <c r="H49" s="6" t="s">
        <v>17</v>
      </c>
      <c r="I49" s="7" t="s">
        <v>18</v>
      </c>
      <c r="J49" s="2" t="s">
        <v>19</v>
      </c>
      <c r="K49" s="3"/>
      <c r="L49" s="2"/>
      <c r="M49" s="3"/>
    </row>
    <row r="50" customFormat="false" ht="15" hidden="false" customHeight="false" outlineLevel="0" collapsed="false">
      <c r="A50" s="2" t="n">
        <v>3</v>
      </c>
      <c r="B50" s="3" t="s">
        <v>66</v>
      </c>
      <c r="C50" s="3" t="s">
        <v>67</v>
      </c>
      <c r="D50" s="2" t="n">
        <v>49</v>
      </c>
      <c r="E50" s="2"/>
      <c r="F50" s="4" t="s">
        <v>78</v>
      </c>
      <c r="G50" s="5" t="s">
        <v>16</v>
      </c>
      <c r="H50" s="6" t="s">
        <v>17</v>
      </c>
      <c r="I50" s="7" t="s">
        <v>18</v>
      </c>
      <c r="J50" s="2" t="s">
        <v>19</v>
      </c>
      <c r="K50" s="3"/>
      <c r="L50" s="2"/>
      <c r="M50" s="3"/>
    </row>
    <row r="51" customFormat="false" ht="15" hidden="false" customHeight="false" outlineLevel="0" collapsed="false">
      <c r="A51" s="2" t="n">
        <v>3</v>
      </c>
      <c r="B51" s="3" t="s">
        <v>66</v>
      </c>
      <c r="C51" s="3" t="s">
        <v>67</v>
      </c>
      <c r="D51" s="2" t="n">
        <v>50</v>
      </c>
      <c r="E51" s="2"/>
      <c r="F51" s="4" t="s">
        <v>79</v>
      </c>
      <c r="G51" s="5" t="s">
        <v>16</v>
      </c>
      <c r="H51" s="6" t="s">
        <v>17</v>
      </c>
      <c r="I51" s="7" t="s">
        <v>18</v>
      </c>
      <c r="J51" s="2" t="s">
        <v>19</v>
      </c>
      <c r="K51" s="3"/>
      <c r="L51" s="2"/>
      <c r="M51" s="3"/>
    </row>
    <row r="52" customFormat="false" ht="15" hidden="false" customHeight="false" outlineLevel="0" collapsed="false">
      <c r="A52" s="2" t="n">
        <v>3</v>
      </c>
      <c r="B52" s="3" t="s">
        <v>66</v>
      </c>
      <c r="C52" s="3" t="s">
        <v>67</v>
      </c>
      <c r="D52" s="2" t="n">
        <v>51</v>
      </c>
      <c r="E52" s="2"/>
      <c r="F52" s="4" t="s">
        <v>80</v>
      </c>
      <c r="G52" s="5" t="s">
        <v>16</v>
      </c>
      <c r="H52" s="6" t="s">
        <v>17</v>
      </c>
      <c r="I52" s="7" t="s">
        <v>18</v>
      </c>
      <c r="J52" s="2" t="s">
        <v>19</v>
      </c>
      <c r="K52" s="3"/>
      <c r="L52" s="2"/>
      <c r="M52" s="3"/>
    </row>
    <row r="53" customFormat="false" ht="15" hidden="false" customHeight="false" outlineLevel="0" collapsed="false">
      <c r="A53" s="2" t="n">
        <v>3</v>
      </c>
      <c r="B53" s="3" t="s">
        <v>66</v>
      </c>
      <c r="C53" s="3" t="s">
        <v>67</v>
      </c>
      <c r="D53" s="2" t="n">
        <v>52</v>
      </c>
      <c r="E53" s="2"/>
      <c r="F53" s="4" t="s">
        <v>81</v>
      </c>
      <c r="G53" s="8" t="s">
        <v>62</v>
      </c>
      <c r="H53" s="6" t="s">
        <v>17</v>
      </c>
      <c r="I53" s="7" t="s">
        <v>18</v>
      </c>
      <c r="J53" s="2" t="s">
        <v>19</v>
      </c>
      <c r="K53" s="3"/>
      <c r="L53" s="2"/>
      <c r="M53" s="3"/>
    </row>
    <row r="54" customFormat="false" ht="15" hidden="false" customHeight="false" outlineLevel="0" collapsed="false">
      <c r="A54" s="2" t="n">
        <v>3</v>
      </c>
      <c r="B54" s="3" t="s">
        <v>66</v>
      </c>
      <c r="C54" s="3" t="s">
        <v>67</v>
      </c>
      <c r="D54" s="2" t="n">
        <v>53</v>
      </c>
      <c r="E54" s="2"/>
      <c r="F54" s="4" t="s">
        <v>82</v>
      </c>
      <c r="G54" s="8" t="s">
        <v>62</v>
      </c>
      <c r="H54" s="6" t="s">
        <v>17</v>
      </c>
      <c r="I54" s="7" t="s">
        <v>18</v>
      </c>
      <c r="J54" s="2" t="s">
        <v>19</v>
      </c>
      <c r="K54" s="3"/>
      <c r="L54" s="2"/>
      <c r="M54" s="3"/>
    </row>
    <row r="55" customFormat="false" ht="15" hidden="false" customHeight="false" outlineLevel="0" collapsed="false">
      <c r="A55" s="2" t="n">
        <v>3</v>
      </c>
      <c r="B55" s="3" t="s">
        <v>66</v>
      </c>
      <c r="C55" s="3" t="s">
        <v>83</v>
      </c>
      <c r="D55" s="2" t="n">
        <v>54</v>
      </c>
      <c r="E55" s="2"/>
      <c r="F55" s="4" t="s">
        <v>84</v>
      </c>
      <c r="G55" s="8" t="s">
        <v>62</v>
      </c>
      <c r="H55" s="6" t="s">
        <v>17</v>
      </c>
      <c r="I55" s="7" t="s">
        <v>18</v>
      </c>
      <c r="J55" s="2" t="s">
        <v>19</v>
      </c>
      <c r="K55" s="3"/>
      <c r="L55" s="2"/>
      <c r="M55" s="3"/>
    </row>
    <row r="56" customFormat="false" ht="15" hidden="false" customHeight="false" outlineLevel="0" collapsed="false">
      <c r="A56" s="2" t="n">
        <v>3</v>
      </c>
      <c r="B56" s="3" t="s">
        <v>66</v>
      </c>
      <c r="C56" s="3" t="s">
        <v>83</v>
      </c>
      <c r="D56" s="2" t="n">
        <v>55</v>
      </c>
      <c r="E56" s="2"/>
      <c r="F56" s="4" t="s">
        <v>85</v>
      </c>
      <c r="G56" s="8" t="s">
        <v>62</v>
      </c>
      <c r="H56" s="6" t="s">
        <v>17</v>
      </c>
      <c r="I56" s="7" t="s">
        <v>18</v>
      </c>
      <c r="J56" s="2" t="s">
        <v>19</v>
      </c>
      <c r="K56" s="3"/>
      <c r="L56" s="2"/>
      <c r="M56" s="3"/>
    </row>
    <row r="57" customFormat="false" ht="15" hidden="false" customHeight="false" outlineLevel="0" collapsed="false">
      <c r="A57" s="2" t="n">
        <v>3</v>
      </c>
      <c r="B57" s="3" t="s">
        <v>66</v>
      </c>
      <c r="C57" s="3" t="s">
        <v>83</v>
      </c>
      <c r="D57" s="2" t="n">
        <v>56</v>
      </c>
      <c r="E57" s="2"/>
      <c r="F57" s="4" t="s">
        <v>86</v>
      </c>
      <c r="G57" s="8" t="s">
        <v>62</v>
      </c>
      <c r="H57" s="6" t="s">
        <v>17</v>
      </c>
      <c r="I57" s="7" t="s">
        <v>18</v>
      </c>
      <c r="J57" s="2" t="s">
        <v>19</v>
      </c>
      <c r="K57" s="3"/>
      <c r="L57" s="2"/>
      <c r="M57" s="3"/>
    </row>
    <row r="58" customFormat="false" ht="15" hidden="false" customHeight="false" outlineLevel="0" collapsed="false">
      <c r="A58" s="2" t="n">
        <v>3</v>
      </c>
      <c r="B58" s="3" t="s">
        <v>66</v>
      </c>
      <c r="C58" s="3" t="s">
        <v>83</v>
      </c>
      <c r="D58" s="2" t="n">
        <v>57</v>
      </c>
      <c r="E58" s="2"/>
      <c r="F58" s="4" t="s">
        <v>87</v>
      </c>
      <c r="G58" s="8" t="s">
        <v>62</v>
      </c>
      <c r="H58" s="6" t="s">
        <v>17</v>
      </c>
      <c r="I58" s="7" t="s">
        <v>18</v>
      </c>
      <c r="J58" s="2" t="s">
        <v>19</v>
      </c>
      <c r="K58" s="3"/>
      <c r="L58" s="2"/>
      <c r="M58" s="3"/>
    </row>
    <row r="59" customFormat="false" ht="15" hidden="false" customHeight="false" outlineLevel="0" collapsed="false">
      <c r="A59" s="2" t="n">
        <v>3</v>
      </c>
      <c r="B59" s="3" t="s">
        <v>66</v>
      </c>
      <c r="C59" s="3" t="s">
        <v>83</v>
      </c>
      <c r="D59" s="2" t="n">
        <v>58</v>
      </c>
      <c r="E59" s="2"/>
      <c r="F59" s="4" t="s">
        <v>88</v>
      </c>
      <c r="G59" s="8" t="s">
        <v>62</v>
      </c>
      <c r="H59" s="6" t="s">
        <v>17</v>
      </c>
      <c r="I59" s="7" t="s">
        <v>18</v>
      </c>
      <c r="J59" s="2" t="s">
        <v>19</v>
      </c>
      <c r="K59" s="3"/>
      <c r="L59" s="2"/>
      <c r="M59" s="3"/>
    </row>
    <row r="60" customFormat="false" ht="15" hidden="false" customHeight="false" outlineLevel="0" collapsed="false">
      <c r="A60" s="2" t="n">
        <v>3</v>
      </c>
      <c r="B60" s="3" t="s">
        <v>66</v>
      </c>
      <c r="C60" s="3" t="s">
        <v>83</v>
      </c>
      <c r="D60" s="2" t="n">
        <v>59</v>
      </c>
      <c r="E60" s="2"/>
      <c r="F60" s="4" t="s">
        <v>89</v>
      </c>
      <c r="G60" s="8" t="s">
        <v>62</v>
      </c>
      <c r="H60" s="6" t="s">
        <v>17</v>
      </c>
      <c r="I60" s="7" t="s">
        <v>18</v>
      </c>
      <c r="J60" s="2" t="s">
        <v>19</v>
      </c>
      <c r="K60" s="3"/>
      <c r="L60" s="2"/>
      <c r="M60" s="3"/>
    </row>
    <row r="61" customFormat="false" ht="15" hidden="false" customHeight="false" outlineLevel="0" collapsed="false">
      <c r="A61" s="2" t="n">
        <v>3</v>
      </c>
      <c r="B61" s="3" t="s">
        <v>66</v>
      </c>
      <c r="C61" s="3" t="s">
        <v>83</v>
      </c>
      <c r="D61" s="2" t="n">
        <v>60</v>
      </c>
      <c r="E61" s="2"/>
      <c r="F61" s="4" t="s">
        <v>90</v>
      </c>
      <c r="G61" s="8" t="s">
        <v>62</v>
      </c>
      <c r="H61" s="6" t="s">
        <v>17</v>
      </c>
      <c r="I61" s="7" t="s">
        <v>18</v>
      </c>
      <c r="J61" s="2" t="s">
        <v>19</v>
      </c>
      <c r="K61" s="3"/>
      <c r="L61" s="2"/>
      <c r="M61" s="3"/>
    </row>
    <row r="62" customFormat="false" ht="15" hidden="false" customHeight="false" outlineLevel="0" collapsed="false">
      <c r="A62" s="2" t="n">
        <v>3</v>
      </c>
      <c r="B62" s="3" t="s">
        <v>66</v>
      </c>
      <c r="C62" s="3" t="s">
        <v>83</v>
      </c>
      <c r="D62" s="2" t="n">
        <v>61</v>
      </c>
      <c r="E62" s="2"/>
      <c r="F62" s="4" t="s">
        <v>91</v>
      </c>
      <c r="G62" s="8" t="s">
        <v>62</v>
      </c>
      <c r="H62" s="6" t="s">
        <v>17</v>
      </c>
      <c r="I62" s="7" t="s">
        <v>18</v>
      </c>
      <c r="J62" s="2" t="s">
        <v>19</v>
      </c>
      <c r="K62" s="3"/>
      <c r="L62" s="2"/>
      <c r="M62" s="3"/>
    </row>
    <row r="63" customFormat="false" ht="15" hidden="false" customHeight="false" outlineLevel="0" collapsed="false">
      <c r="A63" s="2" t="n">
        <v>3</v>
      </c>
      <c r="B63" s="3" t="s">
        <v>66</v>
      </c>
      <c r="C63" s="3" t="s">
        <v>83</v>
      </c>
      <c r="D63" s="2" t="n">
        <v>62</v>
      </c>
      <c r="E63" s="2"/>
      <c r="F63" s="4" t="s">
        <v>92</v>
      </c>
      <c r="G63" s="8" t="s">
        <v>62</v>
      </c>
      <c r="H63" s="6" t="s">
        <v>17</v>
      </c>
      <c r="I63" s="7" t="s">
        <v>18</v>
      </c>
      <c r="J63" s="2" t="s">
        <v>19</v>
      </c>
      <c r="K63" s="3"/>
      <c r="L63" s="2"/>
      <c r="M63" s="3"/>
    </row>
    <row r="64" customFormat="false" ht="15" hidden="false" customHeight="false" outlineLevel="0" collapsed="false">
      <c r="A64" s="2" t="n">
        <v>3</v>
      </c>
      <c r="B64" s="3" t="s">
        <v>66</v>
      </c>
      <c r="C64" s="3" t="s">
        <v>83</v>
      </c>
      <c r="D64" s="2" t="n">
        <v>63</v>
      </c>
      <c r="E64" s="2"/>
      <c r="F64" s="4" t="s">
        <v>93</v>
      </c>
      <c r="G64" s="8" t="s">
        <v>62</v>
      </c>
      <c r="H64" s="6" t="s">
        <v>17</v>
      </c>
      <c r="I64" s="7" t="s">
        <v>18</v>
      </c>
      <c r="J64" s="2" t="s">
        <v>19</v>
      </c>
      <c r="K64" s="3"/>
      <c r="L64" s="2"/>
      <c r="M64" s="3"/>
    </row>
    <row r="65" customFormat="false" ht="15" hidden="false" customHeight="false" outlineLevel="0" collapsed="false">
      <c r="A65" s="2" t="n">
        <v>3</v>
      </c>
      <c r="B65" s="3" t="s">
        <v>66</v>
      </c>
      <c r="C65" s="3" t="s">
        <v>83</v>
      </c>
      <c r="D65" s="2" t="n">
        <v>64</v>
      </c>
      <c r="E65" s="2"/>
      <c r="F65" s="4" t="s">
        <v>94</v>
      </c>
      <c r="G65" s="8" t="s">
        <v>62</v>
      </c>
      <c r="H65" s="6" t="s">
        <v>17</v>
      </c>
      <c r="I65" s="7" t="s">
        <v>18</v>
      </c>
      <c r="J65" s="2" t="s">
        <v>19</v>
      </c>
      <c r="K65" s="3"/>
      <c r="L65" s="2"/>
      <c r="M65" s="3"/>
    </row>
    <row r="66" customFormat="false" ht="15" hidden="false" customHeight="false" outlineLevel="0" collapsed="false">
      <c r="A66" s="2" t="n">
        <v>3</v>
      </c>
      <c r="B66" s="3" t="s">
        <v>66</v>
      </c>
      <c r="C66" s="3" t="s">
        <v>83</v>
      </c>
      <c r="D66" s="2" t="n">
        <v>65</v>
      </c>
      <c r="E66" s="2"/>
      <c r="F66" s="4" t="s">
        <v>95</v>
      </c>
      <c r="G66" s="8" t="s">
        <v>62</v>
      </c>
      <c r="H66" s="6" t="s">
        <v>17</v>
      </c>
      <c r="I66" s="7" t="s">
        <v>18</v>
      </c>
      <c r="J66" s="2" t="s">
        <v>19</v>
      </c>
      <c r="K66" s="3"/>
      <c r="L66" s="2"/>
      <c r="M66" s="3"/>
    </row>
    <row r="67" customFormat="false" ht="15" hidden="false" customHeight="false" outlineLevel="0" collapsed="false">
      <c r="A67" s="2" t="n">
        <v>3</v>
      </c>
      <c r="B67" s="3" t="s">
        <v>66</v>
      </c>
      <c r="C67" s="3" t="s">
        <v>83</v>
      </c>
      <c r="D67" s="2" t="n">
        <v>66</v>
      </c>
      <c r="E67" s="2"/>
      <c r="F67" s="4" t="s">
        <v>96</v>
      </c>
      <c r="G67" s="8" t="s">
        <v>62</v>
      </c>
      <c r="H67" s="6" t="s">
        <v>17</v>
      </c>
      <c r="I67" s="7" t="s">
        <v>18</v>
      </c>
      <c r="J67" s="2" t="s">
        <v>19</v>
      </c>
      <c r="K67" s="3"/>
      <c r="L67" s="2"/>
      <c r="M67" s="3"/>
    </row>
    <row r="68" customFormat="false" ht="15" hidden="false" customHeight="false" outlineLevel="0" collapsed="false">
      <c r="A68" s="2" t="n">
        <v>3</v>
      </c>
      <c r="B68" s="3" t="s">
        <v>66</v>
      </c>
      <c r="C68" s="3" t="s">
        <v>83</v>
      </c>
      <c r="D68" s="2" t="n">
        <v>67</v>
      </c>
      <c r="E68" s="2"/>
      <c r="F68" s="4" t="s">
        <v>97</v>
      </c>
      <c r="G68" s="8" t="s">
        <v>62</v>
      </c>
      <c r="H68" s="6" t="s">
        <v>17</v>
      </c>
      <c r="I68" s="7" t="s">
        <v>18</v>
      </c>
      <c r="J68" s="2" t="s">
        <v>19</v>
      </c>
      <c r="K68" s="3"/>
      <c r="L68" s="2"/>
      <c r="M68" s="3"/>
    </row>
    <row r="69" customFormat="false" ht="15" hidden="false" customHeight="false" outlineLevel="0" collapsed="false">
      <c r="A69" s="2" t="n">
        <v>3</v>
      </c>
      <c r="B69" s="3" t="s">
        <v>66</v>
      </c>
      <c r="C69" s="3" t="s">
        <v>98</v>
      </c>
      <c r="D69" s="2" t="n">
        <v>68</v>
      </c>
      <c r="E69" s="2"/>
      <c r="F69" s="4" t="s">
        <v>99</v>
      </c>
      <c r="G69" s="9" t="s">
        <v>100</v>
      </c>
      <c r="H69" s="6" t="s">
        <v>17</v>
      </c>
      <c r="I69" s="7" t="s">
        <v>18</v>
      </c>
      <c r="J69" s="2" t="s">
        <v>19</v>
      </c>
      <c r="K69" s="3"/>
      <c r="L69" s="2"/>
      <c r="M69" s="3"/>
    </row>
    <row r="70" customFormat="false" ht="15" hidden="false" customHeight="false" outlineLevel="0" collapsed="false">
      <c r="A70" s="2" t="n">
        <v>3</v>
      </c>
      <c r="B70" s="3" t="s">
        <v>66</v>
      </c>
      <c r="C70" s="3" t="s">
        <v>98</v>
      </c>
      <c r="D70" s="2" t="n">
        <v>69</v>
      </c>
      <c r="E70" s="2"/>
      <c r="F70" s="4" t="s">
        <v>101</v>
      </c>
      <c r="G70" s="9" t="s">
        <v>100</v>
      </c>
      <c r="H70" s="6" t="s">
        <v>17</v>
      </c>
      <c r="I70" s="7" t="s">
        <v>18</v>
      </c>
      <c r="J70" s="2" t="s">
        <v>19</v>
      </c>
      <c r="K70" s="3"/>
      <c r="L70" s="2"/>
      <c r="M70" s="3"/>
    </row>
    <row r="71" customFormat="false" ht="15" hidden="false" customHeight="false" outlineLevel="0" collapsed="false">
      <c r="A71" s="2" t="n">
        <v>3</v>
      </c>
      <c r="B71" s="3" t="s">
        <v>66</v>
      </c>
      <c r="C71" s="3" t="s">
        <v>98</v>
      </c>
      <c r="D71" s="2" t="n">
        <v>70</v>
      </c>
      <c r="E71" s="2"/>
      <c r="F71" s="4" t="s">
        <v>102</v>
      </c>
      <c r="G71" s="8" t="s">
        <v>62</v>
      </c>
      <c r="H71" s="6" t="s">
        <v>17</v>
      </c>
      <c r="I71" s="7" t="s">
        <v>18</v>
      </c>
      <c r="J71" s="2" t="s">
        <v>19</v>
      </c>
      <c r="K71" s="3"/>
      <c r="L71" s="2"/>
      <c r="M71" s="3"/>
    </row>
    <row r="72" customFormat="false" ht="15" hidden="false" customHeight="false" outlineLevel="0" collapsed="false">
      <c r="A72" s="2" t="n">
        <v>3</v>
      </c>
      <c r="B72" s="3" t="s">
        <v>66</v>
      </c>
      <c r="C72" s="3" t="s">
        <v>98</v>
      </c>
      <c r="D72" s="2" t="n">
        <v>71</v>
      </c>
      <c r="E72" s="2"/>
      <c r="F72" s="4" t="s">
        <v>103</v>
      </c>
      <c r="G72" s="9" t="s">
        <v>100</v>
      </c>
      <c r="H72" s="6" t="s">
        <v>17</v>
      </c>
      <c r="I72" s="7" t="s">
        <v>18</v>
      </c>
      <c r="J72" s="2" t="s">
        <v>19</v>
      </c>
      <c r="K72" s="3"/>
      <c r="L72" s="2"/>
      <c r="M72" s="3"/>
    </row>
    <row r="73" customFormat="false" ht="15" hidden="false" customHeight="false" outlineLevel="0" collapsed="false">
      <c r="A73" s="2" t="n">
        <v>3</v>
      </c>
      <c r="B73" s="3" t="s">
        <v>66</v>
      </c>
      <c r="C73" s="3" t="s">
        <v>98</v>
      </c>
      <c r="D73" s="2" t="n">
        <v>72</v>
      </c>
      <c r="E73" s="2"/>
      <c r="F73" s="4" t="s">
        <v>104</v>
      </c>
      <c r="G73" s="8" t="s">
        <v>62</v>
      </c>
      <c r="H73" s="6" t="s">
        <v>17</v>
      </c>
      <c r="I73" s="7" t="s">
        <v>18</v>
      </c>
      <c r="J73" s="2" t="s">
        <v>19</v>
      </c>
      <c r="K73" s="3"/>
      <c r="L73" s="2"/>
      <c r="M73" s="3"/>
    </row>
    <row r="74" customFormat="false" ht="15" hidden="false" customHeight="false" outlineLevel="0" collapsed="false">
      <c r="A74" s="2" t="n">
        <v>3</v>
      </c>
      <c r="B74" s="3" t="s">
        <v>66</v>
      </c>
      <c r="C74" s="3" t="s">
        <v>98</v>
      </c>
      <c r="D74" s="2" t="n">
        <v>73</v>
      </c>
      <c r="E74" s="2"/>
      <c r="F74" s="4" t="s">
        <v>105</v>
      </c>
      <c r="G74" s="9" t="s">
        <v>100</v>
      </c>
      <c r="H74" s="6" t="s">
        <v>17</v>
      </c>
      <c r="I74" s="7" t="s">
        <v>18</v>
      </c>
      <c r="J74" s="2" t="s">
        <v>19</v>
      </c>
      <c r="K74" s="3"/>
      <c r="L74" s="2"/>
      <c r="M74" s="3"/>
    </row>
    <row r="75" customFormat="false" ht="15" hidden="false" customHeight="false" outlineLevel="0" collapsed="false">
      <c r="A75" s="2" t="n">
        <v>3</v>
      </c>
      <c r="B75" s="3" t="s">
        <v>66</v>
      </c>
      <c r="C75" s="3" t="s">
        <v>98</v>
      </c>
      <c r="D75" s="2" t="n">
        <v>74</v>
      </c>
      <c r="E75" s="2"/>
      <c r="F75" s="4" t="s">
        <v>106</v>
      </c>
      <c r="G75" s="8" t="s">
        <v>62</v>
      </c>
      <c r="H75" s="6" t="s">
        <v>17</v>
      </c>
      <c r="I75" s="7" t="s">
        <v>18</v>
      </c>
      <c r="J75" s="2" t="s">
        <v>19</v>
      </c>
      <c r="K75" s="3"/>
      <c r="L75" s="2"/>
      <c r="M75" s="3"/>
    </row>
    <row r="76" customFormat="false" ht="15" hidden="false" customHeight="false" outlineLevel="0" collapsed="false">
      <c r="A76" s="2" t="n">
        <v>3</v>
      </c>
      <c r="B76" s="3" t="s">
        <v>66</v>
      </c>
      <c r="C76" s="3" t="s">
        <v>98</v>
      </c>
      <c r="D76" s="2" t="n">
        <v>75</v>
      </c>
      <c r="E76" s="2"/>
      <c r="F76" s="4" t="s">
        <v>107</v>
      </c>
      <c r="G76" s="9" t="s">
        <v>100</v>
      </c>
      <c r="H76" s="6" t="s">
        <v>17</v>
      </c>
      <c r="I76" s="7" t="s">
        <v>18</v>
      </c>
      <c r="J76" s="2" t="s">
        <v>19</v>
      </c>
      <c r="K76" s="3"/>
      <c r="L76" s="2"/>
      <c r="M76" s="3"/>
    </row>
    <row r="77" customFormat="false" ht="15" hidden="false" customHeight="false" outlineLevel="0" collapsed="false">
      <c r="A77" s="2" t="n">
        <v>3</v>
      </c>
      <c r="B77" s="3" t="s">
        <v>66</v>
      </c>
      <c r="C77" s="3" t="s">
        <v>98</v>
      </c>
      <c r="D77" s="2" t="n">
        <v>76</v>
      </c>
      <c r="E77" s="2"/>
      <c r="F77" s="4" t="s">
        <v>108</v>
      </c>
      <c r="G77" s="9" t="s">
        <v>100</v>
      </c>
      <c r="H77" s="6" t="s">
        <v>17</v>
      </c>
      <c r="I77" s="7" t="s">
        <v>18</v>
      </c>
      <c r="J77" s="2" t="s">
        <v>19</v>
      </c>
      <c r="K77" s="3"/>
      <c r="L77" s="2"/>
      <c r="M77" s="3"/>
    </row>
    <row r="78" customFormat="false" ht="15" hidden="false" customHeight="false" outlineLevel="0" collapsed="false">
      <c r="A78" s="2" t="n">
        <v>3</v>
      </c>
      <c r="B78" s="3" t="s">
        <v>66</v>
      </c>
      <c r="C78" s="3" t="s">
        <v>98</v>
      </c>
      <c r="D78" s="2" t="n">
        <v>77</v>
      </c>
      <c r="E78" s="2"/>
      <c r="F78" s="4" t="s">
        <v>109</v>
      </c>
      <c r="G78" s="9" t="s">
        <v>100</v>
      </c>
      <c r="H78" s="6" t="s">
        <v>17</v>
      </c>
      <c r="I78" s="7" t="s">
        <v>18</v>
      </c>
      <c r="J78" s="2" t="s">
        <v>19</v>
      </c>
      <c r="K78" s="3"/>
      <c r="L78" s="2"/>
      <c r="M78" s="3"/>
    </row>
    <row r="79" customFormat="false" ht="15" hidden="false" customHeight="false" outlineLevel="0" collapsed="false">
      <c r="A79" s="2" t="n">
        <v>3</v>
      </c>
      <c r="B79" s="3" t="s">
        <v>66</v>
      </c>
      <c r="C79" s="3" t="s">
        <v>98</v>
      </c>
      <c r="D79" s="2" t="n">
        <v>78</v>
      </c>
      <c r="E79" s="2"/>
      <c r="F79" s="4" t="s">
        <v>110</v>
      </c>
      <c r="G79" s="9" t="s">
        <v>100</v>
      </c>
      <c r="H79" s="6" t="s">
        <v>17</v>
      </c>
      <c r="I79" s="7" t="s">
        <v>18</v>
      </c>
      <c r="J79" s="2" t="s">
        <v>19</v>
      </c>
      <c r="K79" s="3"/>
      <c r="L79" s="2"/>
      <c r="M79" s="3"/>
    </row>
    <row r="80" customFormat="false" ht="15" hidden="false" customHeight="false" outlineLevel="0" collapsed="false">
      <c r="A80" s="2" t="n">
        <v>3</v>
      </c>
      <c r="B80" s="3" t="s">
        <v>66</v>
      </c>
      <c r="C80" s="3" t="s">
        <v>98</v>
      </c>
      <c r="D80" s="2" t="n">
        <v>79</v>
      </c>
      <c r="E80" s="2"/>
      <c r="F80" s="4" t="s">
        <v>111</v>
      </c>
      <c r="G80" s="8" t="s">
        <v>62</v>
      </c>
      <c r="H80" s="6" t="s">
        <v>17</v>
      </c>
      <c r="I80" s="7" t="s">
        <v>18</v>
      </c>
      <c r="J80" s="2" t="s">
        <v>19</v>
      </c>
      <c r="K80" s="3"/>
      <c r="L80" s="2"/>
      <c r="M80" s="3"/>
    </row>
    <row r="81" customFormat="false" ht="15" hidden="false" customHeight="false" outlineLevel="0" collapsed="false">
      <c r="A81" s="2" t="n">
        <v>4</v>
      </c>
      <c r="B81" s="3" t="s">
        <v>112</v>
      </c>
      <c r="C81" s="3" t="s">
        <v>113</v>
      </c>
      <c r="D81" s="2" t="n">
        <v>80</v>
      </c>
      <c r="E81" s="2"/>
      <c r="F81" s="4" t="s">
        <v>114</v>
      </c>
      <c r="G81" s="5" t="s">
        <v>16</v>
      </c>
      <c r="H81" s="6" t="s">
        <v>17</v>
      </c>
      <c r="I81" s="7" t="s">
        <v>18</v>
      </c>
      <c r="J81" s="2" t="s">
        <v>19</v>
      </c>
      <c r="K81" s="3"/>
      <c r="L81" s="2"/>
      <c r="M81" s="3"/>
    </row>
    <row r="82" customFormat="false" ht="15" hidden="false" customHeight="false" outlineLevel="0" collapsed="false">
      <c r="A82" s="2" t="n">
        <v>4</v>
      </c>
      <c r="B82" s="3" t="s">
        <v>112</v>
      </c>
      <c r="C82" s="3" t="s">
        <v>113</v>
      </c>
      <c r="D82" s="2" t="n">
        <v>81</v>
      </c>
      <c r="E82" s="2"/>
      <c r="F82" s="4" t="s">
        <v>115</v>
      </c>
      <c r="G82" s="5" t="s">
        <v>16</v>
      </c>
      <c r="H82" s="6" t="s">
        <v>17</v>
      </c>
      <c r="I82" s="7" t="s">
        <v>18</v>
      </c>
      <c r="J82" s="2" t="s">
        <v>19</v>
      </c>
      <c r="K82" s="3"/>
      <c r="L82" s="2"/>
      <c r="M82" s="3"/>
    </row>
    <row r="83" customFormat="false" ht="15" hidden="false" customHeight="false" outlineLevel="0" collapsed="false">
      <c r="A83" s="2" t="n">
        <v>4</v>
      </c>
      <c r="B83" s="3" t="s">
        <v>112</v>
      </c>
      <c r="C83" s="3" t="s">
        <v>113</v>
      </c>
      <c r="D83" s="2" t="n">
        <v>82</v>
      </c>
      <c r="E83" s="2"/>
      <c r="F83" s="4" t="s">
        <v>116</v>
      </c>
      <c r="G83" s="5" t="s">
        <v>16</v>
      </c>
      <c r="H83" s="6" t="s">
        <v>17</v>
      </c>
      <c r="I83" s="7" t="s">
        <v>18</v>
      </c>
      <c r="J83" s="2" t="s">
        <v>19</v>
      </c>
      <c r="K83" s="3"/>
      <c r="L83" s="2"/>
      <c r="M83" s="3"/>
    </row>
    <row r="84" customFormat="false" ht="15" hidden="false" customHeight="false" outlineLevel="0" collapsed="false">
      <c r="A84" s="2" t="n">
        <v>4</v>
      </c>
      <c r="B84" s="3" t="s">
        <v>112</v>
      </c>
      <c r="C84" s="3" t="s">
        <v>113</v>
      </c>
      <c r="D84" s="2" t="n">
        <v>83</v>
      </c>
      <c r="E84" s="2"/>
      <c r="F84" s="4" t="s">
        <v>117</v>
      </c>
      <c r="G84" s="5" t="s">
        <v>16</v>
      </c>
      <c r="H84" s="6" t="s">
        <v>17</v>
      </c>
      <c r="I84" s="7" t="s">
        <v>18</v>
      </c>
      <c r="J84" s="2" t="s">
        <v>19</v>
      </c>
      <c r="K84" s="3"/>
      <c r="L84" s="2"/>
      <c r="M84" s="3"/>
    </row>
    <row r="85" customFormat="false" ht="15" hidden="false" customHeight="false" outlineLevel="0" collapsed="false">
      <c r="A85" s="2" t="n">
        <v>4</v>
      </c>
      <c r="B85" s="3" t="s">
        <v>112</v>
      </c>
      <c r="C85" s="3" t="s">
        <v>113</v>
      </c>
      <c r="D85" s="2" t="n">
        <v>84</v>
      </c>
      <c r="E85" s="2"/>
      <c r="F85" s="4" t="s">
        <v>118</v>
      </c>
      <c r="G85" s="5" t="s">
        <v>16</v>
      </c>
      <c r="H85" s="6" t="s">
        <v>17</v>
      </c>
      <c r="I85" s="7" t="s">
        <v>18</v>
      </c>
      <c r="J85" s="2" t="s">
        <v>19</v>
      </c>
      <c r="K85" s="3"/>
      <c r="L85" s="2"/>
      <c r="M85" s="3"/>
    </row>
    <row r="86" customFormat="false" ht="15" hidden="false" customHeight="false" outlineLevel="0" collapsed="false">
      <c r="A86" s="2" t="n">
        <v>4</v>
      </c>
      <c r="B86" s="3" t="s">
        <v>112</v>
      </c>
      <c r="C86" s="3" t="s">
        <v>113</v>
      </c>
      <c r="D86" s="2" t="n">
        <v>85</v>
      </c>
      <c r="E86" s="2"/>
      <c r="F86" s="4" t="s">
        <v>119</v>
      </c>
      <c r="G86" s="5" t="s">
        <v>16</v>
      </c>
      <c r="H86" s="6" t="s">
        <v>17</v>
      </c>
      <c r="I86" s="7" t="s">
        <v>18</v>
      </c>
      <c r="J86" s="2" t="s">
        <v>19</v>
      </c>
      <c r="K86" s="3"/>
      <c r="L86" s="2"/>
      <c r="M86" s="3"/>
    </row>
    <row r="87" customFormat="false" ht="15" hidden="false" customHeight="false" outlineLevel="0" collapsed="false">
      <c r="A87" s="2" t="n">
        <v>4</v>
      </c>
      <c r="B87" s="3" t="s">
        <v>112</v>
      </c>
      <c r="C87" s="3" t="s">
        <v>113</v>
      </c>
      <c r="D87" s="2" t="n">
        <v>86</v>
      </c>
      <c r="E87" s="2"/>
      <c r="F87" s="4" t="s">
        <v>120</v>
      </c>
      <c r="G87" s="5" t="s">
        <v>16</v>
      </c>
      <c r="H87" s="6" t="s">
        <v>17</v>
      </c>
      <c r="I87" s="7" t="s">
        <v>18</v>
      </c>
      <c r="J87" s="2" t="s">
        <v>19</v>
      </c>
      <c r="K87" s="3"/>
      <c r="L87" s="2"/>
      <c r="M87" s="3"/>
    </row>
    <row r="88" customFormat="false" ht="15" hidden="false" customHeight="false" outlineLevel="0" collapsed="false">
      <c r="A88" s="2" t="n">
        <v>4</v>
      </c>
      <c r="B88" s="3" t="s">
        <v>112</v>
      </c>
      <c r="C88" s="3" t="s">
        <v>113</v>
      </c>
      <c r="D88" s="2" t="n">
        <v>87</v>
      </c>
      <c r="E88" s="2"/>
      <c r="F88" s="4" t="s">
        <v>121</v>
      </c>
      <c r="G88" s="8" t="s">
        <v>62</v>
      </c>
      <c r="H88" s="6" t="s">
        <v>17</v>
      </c>
      <c r="I88" s="7" t="s">
        <v>18</v>
      </c>
      <c r="J88" s="2" t="s">
        <v>19</v>
      </c>
      <c r="K88" s="3"/>
      <c r="L88" s="2"/>
      <c r="M88" s="3"/>
    </row>
    <row r="89" customFormat="false" ht="15" hidden="false" customHeight="false" outlineLevel="0" collapsed="false">
      <c r="A89" s="2" t="n">
        <v>4</v>
      </c>
      <c r="B89" s="3" t="s">
        <v>112</v>
      </c>
      <c r="C89" s="3" t="s">
        <v>113</v>
      </c>
      <c r="D89" s="2" t="n">
        <v>88</v>
      </c>
      <c r="E89" s="2"/>
      <c r="F89" s="4" t="s">
        <v>122</v>
      </c>
      <c r="G89" s="8" t="s">
        <v>62</v>
      </c>
      <c r="H89" s="6" t="s">
        <v>17</v>
      </c>
      <c r="I89" s="7" t="s">
        <v>18</v>
      </c>
      <c r="J89" s="2" t="s">
        <v>19</v>
      </c>
      <c r="K89" s="3"/>
      <c r="L89" s="2"/>
      <c r="M89" s="3"/>
    </row>
    <row r="90" customFormat="false" ht="15" hidden="false" customHeight="false" outlineLevel="0" collapsed="false">
      <c r="A90" s="2" t="n">
        <v>4</v>
      </c>
      <c r="B90" s="3" t="s">
        <v>112</v>
      </c>
      <c r="C90" s="3" t="s">
        <v>113</v>
      </c>
      <c r="D90" s="2" t="n">
        <v>89</v>
      </c>
      <c r="E90" s="2"/>
      <c r="F90" s="4" t="s">
        <v>123</v>
      </c>
      <c r="G90" s="8" t="s">
        <v>62</v>
      </c>
      <c r="H90" s="6" t="s">
        <v>17</v>
      </c>
      <c r="I90" s="7" t="s">
        <v>18</v>
      </c>
      <c r="J90" s="2" t="s">
        <v>19</v>
      </c>
      <c r="K90" s="3"/>
      <c r="L90" s="2"/>
      <c r="M90" s="3"/>
    </row>
    <row r="91" customFormat="false" ht="15" hidden="false" customHeight="false" outlineLevel="0" collapsed="false">
      <c r="A91" s="2" t="n">
        <v>4</v>
      </c>
      <c r="B91" s="3" t="s">
        <v>112</v>
      </c>
      <c r="C91" s="3" t="s">
        <v>113</v>
      </c>
      <c r="D91" s="2" t="n">
        <v>90</v>
      </c>
      <c r="E91" s="2"/>
      <c r="F91" s="4" t="s">
        <v>124</v>
      </c>
      <c r="G91" s="8" t="s">
        <v>62</v>
      </c>
      <c r="H91" s="6" t="s">
        <v>17</v>
      </c>
      <c r="I91" s="7" t="s">
        <v>18</v>
      </c>
      <c r="J91" s="2" t="s">
        <v>19</v>
      </c>
      <c r="K91" s="3"/>
      <c r="L91" s="2"/>
      <c r="M91" s="3"/>
    </row>
    <row r="92" customFormat="false" ht="15" hidden="false" customHeight="false" outlineLevel="0" collapsed="false">
      <c r="A92" s="2" t="n">
        <v>4</v>
      </c>
      <c r="B92" s="3" t="s">
        <v>112</v>
      </c>
      <c r="C92" s="3" t="s">
        <v>113</v>
      </c>
      <c r="D92" s="2" t="n">
        <v>91</v>
      </c>
      <c r="E92" s="2"/>
      <c r="F92" s="4" t="s">
        <v>125</v>
      </c>
      <c r="G92" s="8" t="s">
        <v>62</v>
      </c>
      <c r="H92" s="6" t="s">
        <v>17</v>
      </c>
      <c r="I92" s="7" t="s">
        <v>18</v>
      </c>
      <c r="J92" s="2" t="s">
        <v>19</v>
      </c>
      <c r="K92" s="3"/>
      <c r="L92" s="2"/>
      <c r="M92" s="3"/>
    </row>
    <row r="93" customFormat="false" ht="15" hidden="false" customHeight="false" outlineLevel="0" collapsed="false">
      <c r="A93" s="2" t="n">
        <v>4</v>
      </c>
      <c r="B93" s="3" t="s">
        <v>112</v>
      </c>
      <c r="C93" s="3" t="s">
        <v>113</v>
      </c>
      <c r="D93" s="2" t="n">
        <v>92</v>
      </c>
      <c r="E93" s="2"/>
      <c r="F93" s="4" t="s">
        <v>126</v>
      </c>
      <c r="G93" s="8" t="s">
        <v>62</v>
      </c>
      <c r="H93" s="6" t="s">
        <v>17</v>
      </c>
      <c r="I93" s="7" t="s">
        <v>18</v>
      </c>
      <c r="J93" s="2" t="s">
        <v>19</v>
      </c>
      <c r="K93" s="3"/>
      <c r="L93" s="2"/>
      <c r="M93" s="3"/>
    </row>
    <row r="94" customFormat="false" ht="15" hidden="false" customHeight="false" outlineLevel="0" collapsed="false">
      <c r="A94" s="2" t="n">
        <v>4</v>
      </c>
      <c r="B94" s="3" t="s">
        <v>112</v>
      </c>
      <c r="C94" s="3" t="s">
        <v>127</v>
      </c>
      <c r="D94" s="2" t="n">
        <v>93</v>
      </c>
      <c r="E94" s="2"/>
      <c r="F94" s="4" t="s">
        <v>128</v>
      </c>
      <c r="G94" s="5" t="s">
        <v>16</v>
      </c>
      <c r="H94" s="6" t="s">
        <v>17</v>
      </c>
      <c r="I94" s="7" t="s">
        <v>18</v>
      </c>
      <c r="J94" s="2" t="s">
        <v>19</v>
      </c>
      <c r="K94" s="3"/>
      <c r="L94" s="2"/>
      <c r="M94" s="3"/>
    </row>
    <row r="95" customFormat="false" ht="15" hidden="false" customHeight="false" outlineLevel="0" collapsed="false">
      <c r="A95" s="2" t="n">
        <v>4</v>
      </c>
      <c r="B95" s="3" t="s">
        <v>112</v>
      </c>
      <c r="C95" s="3" t="s">
        <v>127</v>
      </c>
      <c r="D95" s="2" t="n">
        <v>94</v>
      </c>
      <c r="E95" s="2"/>
      <c r="F95" s="4" t="s">
        <v>129</v>
      </c>
      <c r="G95" s="8" t="s">
        <v>62</v>
      </c>
      <c r="H95" s="6" t="s">
        <v>17</v>
      </c>
      <c r="I95" s="7" t="s">
        <v>18</v>
      </c>
      <c r="J95" s="2" t="s">
        <v>19</v>
      </c>
      <c r="K95" s="3"/>
      <c r="L95" s="2"/>
      <c r="M95" s="3"/>
    </row>
    <row r="96" customFormat="false" ht="15" hidden="false" customHeight="false" outlineLevel="0" collapsed="false">
      <c r="A96" s="2" t="n">
        <v>4</v>
      </c>
      <c r="B96" s="3" t="s">
        <v>112</v>
      </c>
      <c r="C96" s="3" t="s">
        <v>127</v>
      </c>
      <c r="D96" s="2" t="n">
        <v>95</v>
      </c>
      <c r="E96" s="2"/>
      <c r="F96" s="4" t="s">
        <v>130</v>
      </c>
      <c r="G96" s="8" t="s">
        <v>62</v>
      </c>
      <c r="H96" s="6" t="s">
        <v>17</v>
      </c>
      <c r="I96" s="7" t="s">
        <v>18</v>
      </c>
      <c r="J96" s="2" t="s">
        <v>19</v>
      </c>
      <c r="K96" s="3"/>
      <c r="L96" s="2"/>
      <c r="M96" s="3"/>
    </row>
    <row r="97" customFormat="false" ht="15" hidden="false" customHeight="false" outlineLevel="0" collapsed="false">
      <c r="A97" s="2" t="n">
        <v>4</v>
      </c>
      <c r="B97" s="3" t="s">
        <v>112</v>
      </c>
      <c r="C97" s="3" t="s">
        <v>127</v>
      </c>
      <c r="D97" s="2" t="n">
        <v>96</v>
      </c>
      <c r="E97" s="2"/>
      <c r="F97" s="4" t="s">
        <v>131</v>
      </c>
      <c r="G97" s="8" t="s">
        <v>62</v>
      </c>
      <c r="H97" s="6" t="s">
        <v>17</v>
      </c>
      <c r="I97" s="7" t="s">
        <v>18</v>
      </c>
      <c r="J97" s="2" t="s">
        <v>19</v>
      </c>
      <c r="K97" s="3"/>
      <c r="L97" s="2"/>
      <c r="M97" s="3"/>
    </row>
    <row r="98" customFormat="false" ht="15" hidden="false" customHeight="false" outlineLevel="0" collapsed="false">
      <c r="A98" s="2" t="n">
        <v>4</v>
      </c>
      <c r="B98" s="3" t="s">
        <v>112</v>
      </c>
      <c r="C98" s="3" t="s">
        <v>127</v>
      </c>
      <c r="D98" s="2" t="n">
        <v>97</v>
      </c>
      <c r="E98" s="2"/>
      <c r="F98" s="4" t="s">
        <v>132</v>
      </c>
      <c r="G98" s="8" t="s">
        <v>62</v>
      </c>
      <c r="H98" s="6" t="s">
        <v>17</v>
      </c>
      <c r="I98" s="7" t="s">
        <v>18</v>
      </c>
      <c r="J98" s="2" t="s">
        <v>19</v>
      </c>
      <c r="K98" s="3"/>
      <c r="L98" s="2"/>
      <c r="M98" s="3"/>
    </row>
    <row r="99" customFormat="false" ht="15" hidden="false" customHeight="false" outlineLevel="0" collapsed="false">
      <c r="A99" s="2" t="n">
        <v>4</v>
      </c>
      <c r="B99" s="3" t="s">
        <v>112</v>
      </c>
      <c r="C99" s="3" t="s">
        <v>127</v>
      </c>
      <c r="D99" s="2" t="n">
        <v>98</v>
      </c>
      <c r="E99" s="2"/>
      <c r="F99" s="4" t="s">
        <v>133</v>
      </c>
      <c r="G99" s="8" t="s">
        <v>62</v>
      </c>
      <c r="H99" s="6" t="s">
        <v>17</v>
      </c>
      <c r="I99" s="7" t="s">
        <v>18</v>
      </c>
      <c r="J99" s="2" t="s">
        <v>19</v>
      </c>
      <c r="K99" s="3"/>
      <c r="L99" s="2"/>
      <c r="M99" s="3"/>
    </row>
    <row r="100" customFormat="false" ht="15" hidden="false" customHeight="false" outlineLevel="0" collapsed="false">
      <c r="A100" s="2" t="n">
        <v>4</v>
      </c>
      <c r="B100" s="3" t="s">
        <v>112</v>
      </c>
      <c r="C100" s="3" t="s">
        <v>127</v>
      </c>
      <c r="D100" s="2" t="n">
        <v>99</v>
      </c>
      <c r="E100" s="2"/>
      <c r="F100" s="4" t="s">
        <v>134</v>
      </c>
      <c r="G100" s="8" t="s">
        <v>62</v>
      </c>
      <c r="H100" s="6" t="s">
        <v>17</v>
      </c>
      <c r="I100" s="7" t="s">
        <v>18</v>
      </c>
      <c r="J100" s="2" t="s">
        <v>19</v>
      </c>
      <c r="K100" s="3"/>
      <c r="L100" s="2"/>
      <c r="M100" s="3"/>
    </row>
    <row r="101" customFormat="false" ht="15" hidden="false" customHeight="false" outlineLevel="0" collapsed="false">
      <c r="A101" s="2" t="n">
        <v>4</v>
      </c>
      <c r="B101" s="3" t="s">
        <v>112</v>
      </c>
      <c r="C101" s="3" t="s">
        <v>127</v>
      </c>
      <c r="D101" s="2" t="n">
        <v>100</v>
      </c>
      <c r="E101" s="2"/>
      <c r="F101" s="4" t="s">
        <v>135</v>
      </c>
      <c r="G101" s="9" t="s">
        <v>100</v>
      </c>
      <c r="H101" s="6" t="s">
        <v>17</v>
      </c>
      <c r="I101" s="7" t="s">
        <v>18</v>
      </c>
      <c r="J101" s="2" t="s">
        <v>19</v>
      </c>
      <c r="K101" s="3"/>
      <c r="L101" s="2"/>
      <c r="M101" s="3"/>
    </row>
    <row r="102" customFormat="false" ht="15" hidden="false" customHeight="false" outlineLevel="0" collapsed="false">
      <c r="A102" s="2" t="n">
        <v>4</v>
      </c>
      <c r="B102" s="3" t="s">
        <v>112</v>
      </c>
      <c r="C102" s="3" t="s">
        <v>127</v>
      </c>
      <c r="D102" s="2" t="n">
        <v>101</v>
      </c>
      <c r="E102" s="2"/>
      <c r="F102" s="4" t="s">
        <v>136</v>
      </c>
      <c r="G102" s="9" t="s">
        <v>100</v>
      </c>
      <c r="H102" s="6" t="s">
        <v>17</v>
      </c>
      <c r="I102" s="7" t="s">
        <v>18</v>
      </c>
      <c r="J102" s="2" t="s">
        <v>19</v>
      </c>
      <c r="K102" s="3"/>
      <c r="L102" s="2"/>
      <c r="M102" s="3"/>
    </row>
    <row r="103" customFormat="false" ht="15" hidden="false" customHeight="false" outlineLevel="0" collapsed="false">
      <c r="A103" s="2" t="n">
        <v>4</v>
      </c>
      <c r="B103" s="3" t="s">
        <v>112</v>
      </c>
      <c r="C103" s="3" t="s">
        <v>127</v>
      </c>
      <c r="D103" s="2" t="n">
        <v>102</v>
      </c>
      <c r="E103" s="2"/>
      <c r="F103" s="4" t="s">
        <v>137</v>
      </c>
      <c r="G103" s="9" t="s">
        <v>100</v>
      </c>
      <c r="H103" s="6" t="s">
        <v>17</v>
      </c>
      <c r="I103" s="7" t="s">
        <v>18</v>
      </c>
      <c r="J103" s="2" t="s">
        <v>19</v>
      </c>
      <c r="K103" s="3"/>
      <c r="L103" s="2"/>
      <c r="M103" s="3"/>
    </row>
    <row r="104" customFormat="false" ht="15" hidden="false" customHeight="false" outlineLevel="0" collapsed="false">
      <c r="A104" s="2" t="n">
        <v>4</v>
      </c>
      <c r="B104" s="3" t="s">
        <v>112</v>
      </c>
      <c r="C104" s="3" t="s">
        <v>127</v>
      </c>
      <c r="D104" s="2" t="n">
        <v>103</v>
      </c>
      <c r="E104" s="2"/>
      <c r="F104" s="4" t="s">
        <v>138</v>
      </c>
      <c r="G104" s="9" t="s">
        <v>100</v>
      </c>
      <c r="H104" s="6" t="s">
        <v>17</v>
      </c>
      <c r="I104" s="7" t="s">
        <v>18</v>
      </c>
      <c r="J104" s="2" t="s">
        <v>19</v>
      </c>
      <c r="K104" s="3"/>
      <c r="L104" s="2"/>
      <c r="M104" s="3"/>
    </row>
    <row r="105" customFormat="false" ht="15" hidden="false" customHeight="false" outlineLevel="0" collapsed="false">
      <c r="A105" s="2" t="n">
        <v>4</v>
      </c>
      <c r="B105" s="3" t="s">
        <v>112</v>
      </c>
      <c r="C105" s="3" t="s">
        <v>127</v>
      </c>
      <c r="D105" s="2" t="n">
        <v>104</v>
      </c>
      <c r="E105" s="2"/>
      <c r="F105" s="4" t="s">
        <v>139</v>
      </c>
      <c r="G105" s="9" t="s">
        <v>100</v>
      </c>
      <c r="H105" s="6" t="s">
        <v>17</v>
      </c>
      <c r="I105" s="7" t="s">
        <v>18</v>
      </c>
      <c r="J105" s="2" t="s">
        <v>19</v>
      </c>
      <c r="K105" s="3"/>
      <c r="L105" s="2"/>
      <c r="M105" s="3"/>
    </row>
    <row r="106" customFormat="false" ht="15" hidden="false" customHeight="false" outlineLevel="0" collapsed="false">
      <c r="A106" s="2" t="n">
        <v>4</v>
      </c>
      <c r="B106" s="3" t="s">
        <v>112</v>
      </c>
      <c r="C106" s="3" t="s">
        <v>127</v>
      </c>
      <c r="D106" s="2" t="n">
        <v>105</v>
      </c>
      <c r="E106" s="2"/>
      <c r="F106" s="4" t="s">
        <v>140</v>
      </c>
      <c r="G106" s="9" t="s">
        <v>100</v>
      </c>
      <c r="H106" s="6" t="s">
        <v>17</v>
      </c>
      <c r="I106" s="7" t="s">
        <v>18</v>
      </c>
      <c r="J106" s="2" t="s">
        <v>19</v>
      </c>
      <c r="K106" s="3"/>
      <c r="L106" s="2"/>
      <c r="M106" s="3"/>
    </row>
    <row r="107" customFormat="false" ht="15" hidden="false" customHeight="false" outlineLevel="0" collapsed="false">
      <c r="A107" s="2" t="n">
        <v>4</v>
      </c>
      <c r="B107" s="3" t="s">
        <v>112</v>
      </c>
      <c r="C107" s="3" t="s">
        <v>127</v>
      </c>
      <c r="D107" s="2" t="n">
        <v>106</v>
      </c>
      <c r="E107" s="2"/>
      <c r="F107" s="4" t="s">
        <v>141</v>
      </c>
      <c r="G107" s="9" t="s">
        <v>100</v>
      </c>
      <c r="H107" s="6" t="s">
        <v>17</v>
      </c>
      <c r="I107" s="7" t="s">
        <v>18</v>
      </c>
      <c r="J107" s="2" t="s">
        <v>19</v>
      </c>
      <c r="K107" s="3"/>
      <c r="L107" s="2"/>
      <c r="M107" s="3"/>
    </row>
    <row r="108" customFormat="false" ht="15" hidden="false" customHeight="false" outlineLevel="0" collapsed="false">
      <c r="A108" s="2" t="n">
        <v>4</v>
      </c>
      <c r="B108" s="3" t="s">
        <v>112</v>
      </c>
      <c r="C108" s="3" t="s">
        <v>142</v>
      </c>
      <c r="D108" s="2" t="n">
        <v>107</v>
      </c>
      <c r="E108" s="2"/>
      <c r="F108" s="4" t="s">
        <v>143</v>
      </c>
      <c r="G108" s="5" t="s">
        <v>16</v>
      </c>
      <c r="H108" s="6" t="s">
        <v>17</v>
      </c>
      <c r="I108" s="7" t="s">
        <v>18</v>
      </c>
      <c r="J108" s="2" t="s">
        <v>19</v>
      </c>
      <c r="K108" s="3"/>
      <c r="L108" s="2"/>
      <c r="M108" s="3"/>
    </row>
    <row r="109" customFormat="false" ht="15" hidden="false" customHeight="false" outlineLevel="0" collapsed="false">
      <c r="A109" s="2" t="n">
        <v>4</v>
      </c>
      <c r="B109" s="3" t="s">
        <v>112</v>
      </c>
      <c r="C109" s="3" t="s">
        <v>142</v>
      </c>
      <c r="D109" s="2" t="n">
        <v>108</v>
      </c>
      <c r="E109" s="2"/>
      <c r="F109" s="4" t="s">
        <v>144</v>
      </c>
      <c r="G109" s="8" t="s">
        <v>62</v>
      </c>
      <c r="H109" s="6" t="s">
        <v>17</v>
      </c>
      <c r="I109" s="7" t="s">
        <v>18</v>
      </c>
      <c r="J109" s="2" t="s">
        <v>19</v>
      </c>
      <c r="K109" s="3"/>
      <c r="L109" s="2"/>
      <c r="M109" s="3"/>
    </row>
    <row r="110" customFormat="false" ht="15" hidden="false" customHeight="false" outlineLevel="0" collapsed="false">
      <c r="A110" s="2" t="n">
        <v>4</v>
      </c>
      <c r="B110" s="3" t="s">
        <v>112</v>
      </c>
      <c r="C110" s="3" t="s">
        <v>142</v>
      </c>
      <c r="D110" s="2" t="n">
        <v>109</v>
      </c>
      <c r="E110" s="2"/>
      <c r="F110" s="4" t="s">
        <v>145</v>
      </c>
      <c r="G110" s="8" t="s">
        <v>62</v>
      </c>
      <c r="H110" s="6" t="s">
        <v>17</v>
      </c>
      <c r="I110" s="7" t="s">
        <v>18</v>
      </c>
      <c r="J110" s="2" t="s">
        <v>19</v>
      </c>
      <c r="K110" s="3"/>
      <c r="L110" s="2"/>
      <c r="M110" s="3"/>
    </row>
    <row r="111" customFormat="false" ht="15" hidden="false" customHeight="false" outlineLevel="0" collapsed="false">
      <c r="A111" s="2" t="n">
        <v>4</v>
      </c>
      <c r="B111" s="3" t="s">
        <v>112</v>
      </c>
      <c r="C111" s="3" t="s">
        <v>142</v>
      </c>
      <c r="D111" s="2" t="n">
        <v>110</v>
      </c>
      <c r="E111" s="2"/>
      <c r="F111" s="4" t="s">
        <v>146</v>
      </c>
      <c r="G111" s="9" t="s">
        <v>100</v>
      </c>
      <c r="H111" s="6" t="s">
        <v>17</v>
      </c>
      <c r="I111" s="7" t="s">
        <v>18</v>
      </c>
      <c r="J111" s="2" t="s">
        <v>19</v>
      </c>
      <c r="K111" s="3"/>
      <c r="L111" s="2"/>
      <c r="M111" s="3"/>
    </row>
    <row r="112" customFormat="false" ht="15" hidden="false" customHeight="false" outlineLevel="0" collapsed="false">
      <c r="A112" s="2" t="n">
        <v>4</v>
      </c>
      <c r="B112" s="3" t="s">
        <v>112</v>
      </c>
      <c r="C112" s="3" t="s">
        <v>142</v>
      </c>
      <c r="D112" s="2" t="n">
        <v>111</v>
      </c>
      <c r="E112" s="2"/>
      <c r="F112" s="4" t="s">
        <v>147</v>
      </c>
      <c r="G112" s="9" t="s">
        <v>100</v>
      </c>
      <c r="H112" s="6" t="s">
        <v>17</v>
      </c>
      <c r="I112" s="7" t="s">
        <v>18</v>
      </c>
      <c r="J112" s="2" t="s">
        <v>19</v>
      </c>
      <c r="K112" s="3"/>
      <c r="L112" s="2"/>
      <c r="M112" s="3"/>
    </row>
    <row r="113" customFormat="false" ht="15" hidden="false" customHeight="false" outlineLevel="0" collapsed="false">
      <c r="A113" s="2" t="n">
        <v>5</v>
      </c>
      <c r="B113" s="3" t="s">
        <v>148</v>
      </c>
      <c r="C113" s="3" t="s">
        <v>149</v>
      </c>
      <c r="D113" s="2" t="n">
        <v>112</v>
      </c>
      <c r="E113" s="2"/>
      <c r="F113" s="4" t="s">
        <v>150</v>
      </c>
      <c r="G113" s="5" t="s">
        <v>16</v>
      </c>
      <c r="H113" s="6" t="s">
        <v>17</v>
      </c>
      <c r="I113" s="7" t="s">
        <v>18</v>
      </c>
      <c r="J113" s="2" t="s">
        <v>19</v>
      </c>
      <c r="K113" s="3"/>
      <c r="L113" s="2"/>
      <c r="M113" s="3"/>
    </row>
    <row r="114" customFormat="false" ht="15" hidden="false" customHeight="false" outlineLevel="0" collapsed="false">
      <c r="A114" s="2" t="n">
        <v>5</v>
      </c>
      <c r="B114" s="3" t="s">
        <v>148</v>
      </c>
      <c r="C114" s="3" t="s">
        <v>149</v>
      </c>
      <c r="D114" s="2" t="n">
        <v>113</v>
      </c>
      <c r="E114" s="2"/>
      <c r="F114" s="4" t="s">
        <v>151</v>
      </c>
      <c r="G114" s="8" t="s">
        <v>62</v>
      </c>
      <c r="H114" s="6" t="s">
        <v>17</v>
      </c>
      <c r="I114" s="7" t="s">
        <v>18</v>
      </c>
      <c r="J114" s="2" t="s">
        <v>19</v>
      </c>
      <c r="K114" s="3"/>
      <c r="L114" s="2"/>
      <c r="M114" s="3"/>
    </row>
    <row r="115" customFormat="false" ht="15" hidden="false" customHeight="false" outlineLevel="0" collapsed="false">
      <c r="A115" s="2" t="n">
        <v>5</v>
      </c>
      <c r="B115" s="3" t="s">
        <v>148</v>
      </c>
      <c r="C115" s="3" t="s">
        <v>149</v>
      </c>
      <c r="D115" s="2" t="n">
        <v>114</v>
      </c>
      <c r="E115" s="2"/>
      <c r="F115" s="4" t="s">
        <v>152</v>
      </c>
      <c r="G115" s="5" t="s">
        <v>16</v>
      </c>
      <c r="H115" s="6" t="s">
        <v>17</v>
      </c>
      <c r="I115" s="7" t="s">
        <v>18</v>
      </c>
      <c r="J115" s="2" t="s">
        <v>19</v>
      </c>
      <c r="K115" s="3"/>
      <c r="L115" s="2"/>
      <c r="M115" s="3"/>
    </row>
    <row r="116" customFormat="false" ht="15" hidden="false" customHeight="false" outlineLevel="0" collapsed="false">
      <c r="A116" s="2" t="n">
        <v>5</v>
      </c>
      <c r="B116" s="3" t="s">
        <v>148</v>
      </c>
      <c r="C116" s="3" t="s">
        <v>149</v>
      </c>
      <c r="D116" s="2" t="n">
        <v>115</v>
      </c>
      <c r="E116" s="2"/>
      <c r="F116" s="4" t="s">
        <v>153</v>
      </c>
      <c r="G116" s="5" t="s">
        <v>16</v>
      </c>
      <c r="H116" s="6" t="s">
        <v>17</v>
      </c>
      <c r="I116" s="7" t="s">
        <v>18</v>
      </c>
      <c r="J116" s="2" t="s">
        <v>19</v>
      </c>
      <c r="K116" s="3"/>
      <c r="L116" s="2"/>
      <c r="M116" s="3"/>
    </row>
    <row r="117" customFormat="false" ht="15" hidden="false" customHeight="false" outlineLevel="0" collapsed="false">
      <c r="A117" s="2" t="n">
        <v>5</v>
      </c>
      <c r="B117" s="3" t="s">
        <v>148</v>
      </c>
      <c r="C117" s="3" t="s">
        <v>149</v>
      </c>
      <c r="D117" s="2" t="n">
        <v>116</v>
      </c>
      <c r="E117" s="2"/>
      <c r="F117" s="4" t="s">
        <v>154</v>
      </c>
      <c r="G117" s="5" t="s">
        <v>16</v>
      </c>
      <c r="H117" s="6" t="s">
        <v>17</v>
      </c>
      <c r="I117" s="7" t="s">
        <v>18</v>
      </c>
      <c r="J117" s="2" t="s">
        <v>19</v>
      </c>
      <c r="K117" s="3"/>
      <c r="L117" s="2"/>
      <c r="M117" s="3"/>
    </row>
    <row r="118" customFormat="false" ht="15" hidden="false" customHeight="false" outlineLevel="0" collapsed="false">
      <c r="A118" s="2" t="n">
        <v>5</v>
      </c>
      <c r="B118" s="3" t="s">
        <v>148</v>
      </c>
      <c r="C118" s="3" t="s">
        <v>149</v>
      </c>
      <c r="D118" s="2" t="n">
        <v>117</v>
      </c>
      <c r="E118" s="2"/>
      <c r="F118" s="4" t="s">
        <v>155</v>
      </c>
      <c r="G118" s="5" t="s">
        <v>16</v>
      </c>
      <c r="H118" s="6" t="s">
        <v>17</v>
      </c>
      <c r="I118" s="7" t="s">
        <v>18</v>
      </c>
      <c r="J118" s="2" t="s">
        <v>19</v>
      </c>
      <c r="K118" s="3"/>
      <c r="L118" s="2"/>
      <c r="M118" s="3"/>
    </row>
    <row r="119" customFormat="false" ht="15" hidden="false" customHeight="false" outlineLevel="0" collapsed="false">
      <c r="A119" s="2" t="n">
        <v>5</v>
      </c>
      <c r="B119" s="3" t="s">
        <v>148</v>
      </c>
      <c r="C119" s="3" t="s">
        <v>149</v>
      </c>
      <c r="D119" s="2" t="n">
        <v>118</v>
      </c>
      <c r="E119" s="2"/>
      <c r="F119" s="4" t="s">
        <v>156</v>
      </c>
      <c r="G119" s="5" t="s">
        <v>16</v>
      </c>
      <c r="H119" s="6" t="s">
        <v>17</v>
      </c>
      <c r="I119" s="7" t="s">
        <v>18</v>
      </c>
      <c r="J119" s="2" t="s">
        <v>19</v>
      </c>
      <c r="K119" s="3"/>
      <c r="L119" s="2"/>
      <c r="M119" s="3"/>
    </row>
    <row r="120" customFormat="false" ht="15" hidden="false" customHeight="false" outlineLevel="0" collapsed="false">
      <c r="A120" s="2" t="n">
        <v>5</v>
      </c>
      <c r="B120" s="3" t="s">
        <v>148</v>
      </c>
      <c r="C120" s="3" t="s">
        <v>157</v>
      </c>
      <c r="D120" s="2" t="n">
        <v>119</v>
      </c>
      <c r="E120" s="2"/>
      <c r="F120" s="4" t="s">
        <v>158</v>
      </c>
      <c r="G120" s="8" t="s">
        <v>62</v>
      </c>
      <c r="H120" s="6" t="s">
        <v>17</v>
      </c>
      <c r="I120" s="7" t="s">
        <v>18</v>
      </c>
      <c r="J120" s="2" t="s">
        <v>19</v>
      </c>
      <c r="K120" s="3"/>
      <c r="L120" s="2"/>
      <c r="M120" s="3"/>
    </row>
    <row r="121" customFormat="false" ht="15" hidden="false" customHeight="false" outlineLevel="0" collapsed="false">
      <c r="A121" s="2" t="n">
        <v>5</v>
      </c>
      <c r="B121" s="3" t="s">
        <v>148</v>
      </c>
      <c r="C121" s="3" t="s">
        <v>157</v>
      </c>
      <c r="D121" s="2" t="n">
        <v>120</v>
      </c>
      <c r="E121" s="2"/>
      <c r="F121" s="4" t="s">
        <v>159</v>
      </c>
      <c r="G121" s="5" t="s">
        <v>16</v>
      </c>
      <c r="H121" s="6" t="s">
        <v>17</v>
      </c>
      <c r="I121" s="7" t="s">
        <v>18</v>
      </c>
      <c r="J121" s="2" t="s">
        <v>19</v>
      </c>
      <c r="K121" s="3"/>
      <c r="L121" s="2"/>
      <c r="M121" s="3"/>
    </row>
    <row r="122" customFormat="false" ht="15" hidden="false" customHeight="false" outlineLevel="0" collapsed="false">
      <c r="A122" s="2" t="n">
        <v>5</v>
      </c>
      <c r="B122" s="3" t="s">
        <v>148</v>
      </c>
      <c r="C122" s="3" t="s">
        <v>157</v>
      </c>
      <c r="D122" s="2" t="n">
        <v>121</v>
      </c>
      <c r="E122" s="2"/>
      <c r="F122" s="4" t="s">
        <v>160</v>
      </c>
      <c r="G122" s="5" t="s">
        <v>16</v>
      </c>
      <c r="H122" s="6" t="s">
        <v>17</v>
      </c>
      <c r="I122" s="7" t="s">
        <v>18</v>
      </c>
      <c r="J122" s="2" t="s">
        <v>19</v>
      </c>
      <c r="K122" s="3"/>
      <c r="L122" s="2"/>
      <c r="M122" s="3"/>
    </row>
    <row r="123" customFormat="false" ht="15" hidden="false" customHeight="false" outlineLevel="0" collapsed="false">
      <c r="A123" s="2" t="n">
        <v>5</v>
      </c>
      <c r="B123" s="3" t="s">
        <v>148</v>
      </c>
      <c r="C123" s="3" t="s">
        <v>157</v>
      </c>
      <c r="D123" s="2" t="n">
        <v>122</v>
      </c>
      <c r="E123" s="2"/>
      <c r="F123" s="4" t="s">
        <v>161</v>
      </c>
      <c r="G123" s="8" t="s">
        <v>62</v>
      </c>
      <c r="H123" s="6" t="s">
        <v>17</v>
      </c>
      <c r="I123" s="7" t="s">
        <v>18</v>
      </c>
      <c r="J123" s="2" t="s">
        <v>19</v>
      </c>
      <c r="K123" s="3"/>
      <c r="L123" s="2"/>
      <c r="M123" s="3"/>
    </row>
    <row r="124" customFormat="false" ht="15" hidden="false" customHeight="false" outlineLevel="0" collapsed="false">
      <c r="A124" s="2" t="n">
        <v>5</v>
      </c>
      <c r="B124" s="3" t="s">
        <v>148</v>
      </c>
      <c r="C124" s="3" t="s">
        <v>157</v>
      </c>
      <c r="D124" s="2" t="n">
        <v>123</v>
      </c>
      <c r="E124" s="2"/>
      <c r="F124" s="4" t="s">
        <v>162</v>
      </c>
      <c r="G124" s="8" t="s">
        <v>62</v>
      </c>
      <c r="H124" s="6" t="s">
        <v>17</v>
      </c>
      <c r="I124" s="7" t="s">
        <v>18</v>
      </c>
      <c r="J124" s="2" t="s">
        <v>19</v>
      </c>
      <c r="K124" s="3"/>
      <c r="L124" s="2"/>
      <c r="M124" s="3"/>
    </row>
    <row r="125" customFormat="false" ht="15" hidden="false" customHeight="false" outlineLevel="0" collapsed="false">
      <c r="A125" s="2" t="n">
        <v>5</v>
      </c>
      <c r="B125" s="3" t="s">
        <v>148</v>
      </c>
      <c r="C125" s="3" t="s">
        <v>157</v>
      </c>
      <c r="D125" s="2" t="n">
        <v>124</v>
      </c>
      <c r="E125" s="2"/>
      <c r="F125" s="4" t="s">
        <v>163</v>
      </c>
      <c r="G125" s="8" t="s">
        <v>62</v>
      </c>
      <c r="H125" s="6" t="s">
        <v>17</v>
      </c>
      <c r="I125" s="7" t="s">
        <v>18</v>
      </c>
      <c r="J125" s="2" t="s">
        <v>19</v>
      </c>
      <c r="K125" s="3"/>
      <c r="L125" s="2"/>
      <c r="M125" s="3"/>
    </row>
    <row r="126" customFormat="false" ht="15" hidden="false" customHeight="false" outlineLevel="0" collapsed="false">
      <c r="A126" s="2" t="n">
        <v>5</v>
      </c>
      <c r="B126" s="3" t="s">
        <v>148</v>
      </c>
      <c r="C126" s="3" t="s">
        <v>157</v>
      </c>
      <c r="D126" s="2" t="n">
        <v>125</v>
      </c>
      <c r="E126" s="2"/>
      <c r="F126" s="4" t="s">
        <v>164</v>
      </c>
      <c r="G126" s="8" t="s">
        <v>62</v>
      </c>
      <c r="H126" s="6" t="s">
        <v>17</v>
      </c>
      <c r="I126" s="7" t="s">
        <v>18</v>
      </c>
      <c r="J126" s="2" t="s">
        <v>19</v>
      </c>
      <c r="K126" s="3"/>
      <c r="L126" s="2"/>
      <c r="M126" s="3"/>
    </row>
    <row r="127" customFormat="false" ht="15" hidden="false" customHeight="false" outlineLevel="0" collapsed="false">
      <c r="A127" s="2" t="n">
        <v>5</v>
      </c>
      <c r="B127" s="3" t="s">
        <v>148</v>
      </c>
      <c r="C127" s="3" t="s">
        <v>157</v>
      </c>
      <c r="D127" s="2" t="n">
        <v>126</v>
      </c>
      <c r="E127" s="2"/>
      <c r="F127" s="4" t="s">
        <v>165</v>
      </c>
      <c r="G127" s="8" t="s">
        <v>62</v>
      </c>
      <c r="H127" s="6" t="s">
        <v>17</v>
      </c>
      <c r="I127" s="7" t="s">
        <v>18</v>
      </c>
      <c r="J127" s="2" t="s">
        <v>19</v>
      </c>
      <c r="K127" s="3"/>
      <c r="L127" s="2"/>
      <c r="M127" s="3"/>
    </row>
    <row r="128" customFormat="false" ht="15" hidden="false" customHeight="false" outlineLevel="0" collapsed="false">
      <c r="A128" s="2" t="n">
        <v>6</v>
      </c>
      <c r="B128" s="3" t="s">
        <v>166</v>
      </c>
      <c r="C128" s="3" t="s">
        <v>167</v>
      </c>
      <c r="D128" s="2" t="n">
        <v>127</v>
      </c>
      <c r="E128" s="2"/>
      <c r="F128" s="4" t="s">
        <v>168</v>
      </c>
      <c r="G128" s="5" t="s">
        <v>16</v>
      </c>
      <c r="H128" s="6" t="s">
        <v>17</v>
      </c>
      <c r="I128" s="7" t="s">
        <v>18</v>
      </c>
      <c r="J128" s="2" t="s">
        <v>19</v>
      </c>
      <c r="K128" s="3"/>
      <c r="L128" s="2"/>
      <c r="M128" s="3"/>
    </row>
    <row r="129" customFormat="false" ht="15" hidden="false" customHeight="false" outlineLevel="0" collapsed="false">
      <c r="A129" s="2" t="n">
        <v>6</v>
      </c>
      <c r="B129" s="3" t="s">
        <v>166</v>
      </c>
      <c r="C129" s="3" t="s">
        <v>167</v>
      </c>
      <c r="D129" s="2" t="n">
        <v>128</v>
      </c>
      <c r="E129" s="2"/>
      <c r="F129" s="4" t="s">
        <v>169</v>
      </c>
      <c r="G129" s="5" t="s">
        <v>16</v>
      </c>
      <c r="H129" s="6" t="s">
        <v>17</v>
      </c>
      <c r="I129" s="7" t="s">
        <v>18</v>
      </c>
      <c r="J129" s="2" t="s">
        <v>19</v>
      </c>
      <c r="K129" s="3"/>
      <c r="L129" s="2"/>
      <c r="M129" s="3"/>
    </row>
    <row r="130" customFormat="false" ht="15" hidden="false" customHeight="false" outlineLevel="0" collapsed="false">
      <c r="A130" s="2" t="n">
        <v>6</v>
      </c>
      <c r="B130" s="3" t="s">
        <v>166</v>
      </c>
      <c r="C130" s="3" t="s">
        <v>167</v>
      </c>
      <c r="D130" s="2" t="n">
        <v>129</v>
      </c>
      <c r="E130" s="2"/>
      <c r="F130" s="4" t="s">
        <v>170</v>
      </c>
      <c r="G130" s="5" t="s">
        <v>16</v>
      </c>
      <c r="H130" s="6" t="s">
        <v>17</v>
      </c>
      <c r="I130" s="7" t="s">
        <v>18</v>
      </c>
      <c r="J130" s="2" t="s">
        <v>19</v>
      </c>
      <c r="K130" s="3"/>
      <c r="L130" s="2"/>
      <c r="M130" s="3"/>
    </row>
    <row r="131" customFormat="false" ht="15" hidden="false" customHeight="false" outlineLevel="0" collapsed="false">
      <c r="A131" s="2" t="n">
        <v>6</v>
      </c>
      <c r="B131" s="3" t="s">
        <v>166</v>
      </c>
      <c r="C131" s="3" t="s">
        <v>167</v>
      </c>
      <c r="D131" s="2" t="n">
        <v>130</v>
      </c>
      <c r="E131" s="2"/>
      <c r="F131" s="4" t="s">
        <v>171</v>
      </c>
      <c r="G131" s="5" t="s">
        <v>16</v>
      </c>
      <c r="H131" s="6" t="s">
        <v>17</v>
      </c>
      <c r="I131" s="7" t="s">
        <v>18</v>
      </c>
      <c r="J131" s="2" t="s">
        <v>19</v>
      </c>
      <c r="K131" s="3"/>
      <c r="L131" s="2"/>
      <c r="M131" s="3"/>
    </row>
    <row r="132" customFormat="false" ht="15" hidden="false" customHeight="false" outlineLevel="0" collapsed="false">
      <c r="A132" s="2" t="n">
        <v>6</v>
      </c>
      <c r="B132" s="3" t="s">
        <v>166</v>
      </c>
      <c r="C132" s="3" t="s">
        <v>167</v>
      </c>
      <c r="D132" s="2" t="n">
        <v>131</v>
      </c>
      <c r="E132" s="2"/>
      <c r="F132" s="4" t="s">
        <v>172</v>
      </c>
      <c r="G132" s="5" t="s">
        <v>16</v>
      </c>
      <c r="H132" s="6" t="s">
        <v>17</v>
      </c>
      <c r="I132" s="7" t="s">
        <v>18</v>
      </c>
      <c r="J132" s="2" t="s">
        <v>19</v>
      </c>
      <c r="K132" s="3"/>
      <c r="L132" s="2"/>
      <c r="M132" s="3"/>
    </row>
    <row r="133" customFormat="false" ht="15" hidden="false" customHeight="false" outlineLevel="0" collapsed="false">
      <c r="A133" s="2" t="n">
        <v>6</v>
      </c>
      <c r="B133" s="3" t="s">
        <v>166</v>
      </c>
      <c r="C133" s="3" t="s">
        <v>173</v>
      </c>
      <c r="D133" s="2" t="n">
        <v>132</v>
      </c>
      <c r="E133" s="2"/>
      <c r="F133" s="4" t="s">
        <v>174</v>
      </c>
      <c r="G133" s="5" t="s">
        <v>16</v>
      </c>
      <c r="H133" s="6" t="s">
        <v>17</v>
      </c>
      <c r="I133" s="7" t="s">
        <v>18</v>
      </c>
      <c r="J133" s="2" t="s">
        <v>19</v>
      </c>
      <c r="K133" s="3"/>
      <c r="L133" s="2"/>
      <c r="M133" s="3"/>
    </row>
    <row r="134" customFormat="false" ht="15" hidden="false" customHeight="false" outlineLevel="0" collapsed="false">
      <c r="A134" s="2" t="n">
        <v>6</v>
      </c>
      <c r="B134" s="3" t="s">
        <v>166</v>
      </c>
      <c r="C134" s="3" t="s">
        <v>173</v>
      </c>
      <c r="D134" s="2" t="n">
        <v>133</v>
      </c>
      <c r="E134" s="2"/>
      <c r="F134" s="4" t="s">
        <v>175</v>
      </c>
      <c r="G134" s="5" t="s">
        <v>16</v>
      </c>
      <c r="H134" s="6" t="s">
        <v>17</v>
      </c>
      <c r="I134" s="7" t="s">
        <v>18</v>
      </c>
      <c r="J134" s="2" t="s">
        <v>19</v>
      </c>
      <c r="K134" s="3"/>
      <c r="L134" s="2"/>
      <c r="M134" s="3"/>
    </row>
    <row r="135" customFormat="false" ht="15" hidden="false" customHeight="false" outlineLevel="0" collapsed="false">
      <c r="A135" s="2" t="n">
        <v>6</v>
      </c>
      <c r="B135" s="3" t="s">
        <v>166</v>
      </c>
      <c r="C135" s="3" t="s">
        <v>173</v>
      </c>
      <c r="D135" s="2" t="n">
        <v>134</v>
      </c>
      <c r="E135" s="2"/>
      <c r="F135" s="4" t="s">
        <v>176</v>
      </c>
      <c r="G135" s="5" t="s">
        <v>16</v>
      </c>
      <c r="H135" s="6" t="s">
        <v>17</v>
      </c>
      <c r="I135" s="7" t="s">
        <v>18</v>
      </c>
      <c r="J135" s="2" t="s">
        <v>19</v>
      </c>
      <c r="K135" s="3"/>
      <c r="L135" s="2"/>
      <c r="M135" s="3"/>
    </row>
    <row r="136" customFormat="false" ht="15" hidden="false" customHeight="false" outlineLevel="0" collapsed="false">
      <c r="A136" s="2" t="n">
        <v>6</v>
      </c>
      <c r="B136" s="3" t="s">
        <v>166</v>
      </c>
      <c r="C136" s="3" t="s">
        <v>173</v>
      </c>
      <c r="D136" s="2" t="n">
        <v>135</v>
      </c>
      <c r="E136" s="2"/>
      <c r="F136" s="4" t="s">
        <v>177</v>
      </c>
      <c r="G136" s="8" t="s">
        <v>62</v>
      </c>
      <c r="H136" s="6" t="s">
        <v>17</v>
      </c>
      <c r="I136" s="7" t="s">
        <v>18</v>
      </c>
      <c r="J136" s="2" t="s">
        <v>19</v>
      </c>
      <c r="K136" s="3"/>
      <c r="L136" s="2"/>
      <c r="M136" s="3"/>
    </row>
    <row r="137" customFormat="false" ht="15" hidden="false" customHeight="false" outlineLevel="0" collapsed="false">
      <c r="A137" s="2" t="n">
        <v>6</v>
      </c>
      <c r="B137" s="3" t="s">
        <v>166</v>
      </c>
      <c r="C137" s="3" t="s">
        <v>178</v>
      </c>
      <c r="D137" s="2" t="n">
        <v>136</v>
      </c>
      <c r="E137" s="2"/>
      <c r="F137" s="4" t="s">
        <v>179</v>
      </c>
      <c r="G137" s="5" t="s">
        <v>16</v>
      </c>
      <c r="H137" s="6" t="s">
        <v>17</v>
      </c>
      <c r="I137" s="7" t="s">
        <v>18</v>
      </c>
      <c r="J137" s="2" t="s">
        <v>19</v>
      </c>
      <c r="K137" s="3"/>
      <c r="L137" s="2"/>
      <c r="M137" s="3"/>
    </row>
    <row r="138" customFormat="false" ht="15" hidden="false" customHeight="false" outlineLevel="0" collapsed="false">
      <c r="A138" s="2" t="n">
        <v>6</v>
      </c>
      <c r="B138" s="3" t="s">
        <v>166</v>
      </c>
      <c r="C138" s="3" t="s">
        <v>178</v>
      </c>
      <c r="D138" s="2" t="n">
        <v>137</v>
      </c>
      <c r="E138" s="2"/>
      <c r="F138" s="4" t="s">
        <v>180</v>
      </c>
      <c r="G138" s="5" t="s">
        <v>16</v>
      </c>
      <c r="H138" s="6" t="s">
        <v>17</v>
      </c>
      <c r="I138" s="7" t="s">
        <v>18</v>
      </c>
      <c r="J138" s="2" t="s">
        <v>19</v>
      </c>
      <c r="K138" s="3"/>
      <c r="L138" s="2"/>
      <c r="M138" s="3"/>
    </row>
    <row r="139" customFormat="false" ht="15" hidden="false" customHeight="false" outlineLevel="0" collapsed="false">
      <c r="A139" s="2" t="n">
        <v>6</v>
      </c>
      <c r="B139" s="3" t="s">
        <v>166</v>
      </c>
      <c r="C139" s="3" t="s">
        <v>178</v>
      </c>
      <c r="D139" s="2" t="n">
        <v>138</v>
      </c>
      <c r="E139" s="2"/>
      <c r="F139" s="4" t="s">
        <v>181</v>
      </c>
      <c r="G139" s="5" t="s">
        <v>16</v>
      </c>
      <c r="H139" s="6" t="s">
        <v>17</v>
      </c>
      <c r="I139" s="7" t="s">
        <v>18</v>
      </c>
      <c r="J139" s="2" t="s">
        <v>19</v>
      </c>
      <c r="K139" s="3"/>
      <c r="L139" s="2"/>
      <c r="M139" s="3"/>
    </row>
    <row r="140" customFormat="false" ht="15" hidden="false" customHeight="false" outlineLevel="0" collapsed="false">
      <c r="A140" s="2" t="n">
        <v>6</v>
      </c>
      <c r="B140" s="3" t="s">
        <v>166</v>
      </c>
      <c r="C140" s="3" t="s">
        <v>178</v>
      </c>
      <c r="D140" s="2" t="n">
        <v>139</v>
      </c>
      <c r="E140" s="2"/>
      <c r="F140" s="4" t="s">
        <v>182</v>
      </c>
      <c r="G140" s="8" t="s">
        <v>62</v>
      </c>
      <c r="H140" s="6" t="s">
        <v>17</v>
      </c>
      <c r="I140" s="7" t="s">
        <v>18</v>
      </c>
      <c r="J140" s="2" t="s">
        <v>19</v>
      </c>
      <c r="K140" s="3"/>
      <c r="L140" s="2"/>
      <c r="M140" s="3"/>
    </row>
    <row r="141" customFormat="false" ht="15" hidden="false" customHeight="false" outlineLevel="0" collapsed="false">
      <c r="A141" s="2" t="n">
        <v>6</v>
      </c>
      <c r="B141" s="3" t="s">
        <v>166</v>
      </c>
      <c r="C141" s="3" t="s">
        <v>178</v>
      </c>
      <c r="D141" s="2" t="n">
        <v>140</v>
      </c>
      <c r="E141" s="2"/>
      <c r="F141" s="4" t="s">
        <v>183</v>
      </c>
      <c r="G141" s="8" t="s">
        <v>62</v>
      </c>
      <c r="H141" s="6" t="s">
        <v>17</v>
      </c>
      <c r="I141" s="7" t="s">
        <v>18</v>
      </c>
      <c r="J141" s="2" t="s">
        <v>19</v>
      </c>
      <c r="K141" s="3"/>
      <c r="L141" s="2"/>
      <c r="M141" s="3"/>
    </row>
    <row r="142" customFormat="false" ht="15" hidden="false" customHeight="false" outlineLevel="0" collapsed="false">
      <c r="A142" s="2" t="n">
        <v>6</v>
      </c>
      <c r="B142" s="3" t="s">
        <v>166</v>
      </c>
      <c r="C142" s="3" t="s">
        <v>178</v>
      </c>
      <c r="D142" s="2" t="n">
        <v>141</v>
      </c>
      <c r="E142" s="2"/>
      <c r="F142" s="4" t="s">
        <v>184</v>
      </c>
      <c r="G142" s="8" t="s">
        <v>62</v>
      </c>
      <c r="H142" s="6" t="s">
        <v>17</v>
      </c>
      <c r="I142" s="7" t="s">
        <v>18</v>
      </c>
      <c r="J142" s="2" t="s">
        <v>19</v>
      </c>
      <c r="K142" s="3"/>
      <c r="L142" s="2"/>
      <c r="M142" s="3"/>
    </row>
    <row r="143" customFormat="false" ht="15" hidden="false" customHeight="false" outlineLevel="0" collapsed="false">
      <c r="A143" s="2" t="n">
        <v>6</v>
      </c>
      <c r="B143" s="3" t="s">
        <v>166</v>
      </c>
      <c r="C143" s="3" t="s">
        <v>178</v>
      </c>
      <c r="D143" s="2" t="n">
        <v>142</v>
      </c>
      <c r="E143" s="2"/>
      <c r="F143" s="4" t="s">
        <v>185</v>
      </c>
      <c r="G143" s="8" t="s">
        <v>62</v>
      </c>
      <c r="H143" s="6" t="s">
        <v>17</v>
      </c>
      <c r="I143" s="7" t="s">
        <v>18</v>
      </c>
      <c r="J143" s="2" t="s">
        <v>19</v>
      </c>
      <c r="K143" s="3"/>
      <c r="L143" s="2"/>
      <c r="M143" s="3"/>
    </row>
    <row r="144" customFormat="false" ht="15" hidden="false" customHeight="false" outlineLevel="0" collapsed="false">
      <c r="A144" s="2" t="n">
        <v>6</v>
      </c>
      <c r="B144" s="3" t="s">
        <v>166</v>
      </c>
      <c r="C144" s="3" t="s">
        <v>178</v>
      </c>
      <c r="D144" s="2" t="n">
        <v>143</v>
      </c>
      <c r="E144" s="2"/>
      <c r="F144" s="4" t="s">
        <v>186</v>
      </c>
      <c r="G144" s="8" t="s">
        <v>62</v>
      </c>
      <c r="H144" s="6" t="s">
        <v>17</v>
      </c>
      <c r="I144" s="7" t="s">
        <v>18</v>
      </c>
      <c r="J144" s="2" t="s">
        <v>19</v>
      </c>
      <c r="K144" s="3"/>
      <c r="L144" s="2"/>
      <c r="M144" s="3"/>
    </row>
    <row r="145" customFormat="false" ht="15" hidden="false" customHeight="false" outlineLevel="0" collapsed="false">
      <c r="A145" s="2" t="n">
        <v>6</v>
      </c>
      <c r="B145" s="3" t="s">
        <v>166</v>
      </c>
      <c r="C145" s="3" t="s">
        <v>178</v>
      </c>
      <c r="D145" s="2" t="n">
        <v>144</v>
      </c>
      <c r="E145" s="2"/>
      <c r="F145" s="4" t="s">
        <v>187</v>
      </c>
      <c r="G145" s="8" t="s">
        <v>62</v>
      </c>
      <c r="H145" s="6" t="s">
        <v>17</v>
      </c>
      <c r="I145" s="7" t="s">
        <v>18</v>
      </c>
      <c r="J145" s="2" t="s">
        <v>19</v>
      </c>
      <c r="K145" s="3"/>
      <c r="L145" s="2"/>
      <c r="M145" s="3"/>
    </row>
    <row r="146" customFormat="false" ht="15" hidden="false" customHeight="false" outlineLevel="0" collapsed="false">
      <c r="A146" s="2" t="n">
        <v>6</v>
      </c>
      <c r="B146" s="3" t="s">
        <v>166</v>
      </c>
      <c r="C146" s="3" t="s">
        <v>178</v>
      </c>
      <c r="D146" s="2" t="n">
        <v>145</v>
      </c>
      <c r="E146" s="2"/>
      <c r="F146" s="4" t="s">
        <v>188</v>
      </c>
      <c r="G146" s="8" t="s">
        <v>62</v>
      </c>
      <c r="H146" s="6" t="s">
        <v>17</v>
      </c>
      <c r="I146" s="7" t="s">
        <v>18</v>
      </c>
      <c r="J146" s="2" t="s">
        <v>19</v>
      </c>
      <c r="K146" s="3"/>
      <c r="L146" s="2"/>
      <c r="M146" s="3"/>
    </row>
    <row r="147" customFormat="false" ht="15" hidden="false" customHeight="false" outlineLevel="0" collapsed="false">
      <c r="A147" s="2" t="n">
        <v>6</v>
      </c>
      <c r="B147" s="3" t="s">
        <v>166</v>
      </c>
      <c r="C147" s="3" t="s">
        <v>178</v>
      </c>
      <c r="D147" s="2" t="n">
        <v>146</v>
      </c>
      <c r="E147" s="2"/>
      <c r="F147" s="4" t="s">
        <v>189</v>
      </c>
      <c r="G147" s="8" t="s">
        <v>62</v>
      </c>
      <c r="H147" s="6" t="s">
        <v>17</v>
      </c>
      <c r="I147" s="7" t="s">
        <v>18</v>
      </c>
      <c r="J147" s="2" t="s">
        <v>19</v>
      </c>
      <c r="K147" s="3"/>
      <c r="L147" s="2"/>
      <c r="M147" s="3"/>
    </row>
    <row r="148" customFormat="false" ht="15" hidden="false" customHeight="false" outlineLevel="0" collapsed="false">
      <c r="A148" s="2" t="n">
        <v>6</v>
      </c>
      <c r="B148" s="3" t="s">
        <v>166</v>
      </c>
      <c r="C148" s="3" t="s">
        <v>178</v>
      </c>
      <c r="D148" s="2" t="n">
        <v>147</v>
      </c>
      <c r="E148" s="2"/>
      <c r="F148" s="4" t="s">
        <v>190</v>
      </c>
      <c r="G148" s="8" t="s">
        <v>62</v>
      </c>
      <c r="H148" s="6" t="s">
        <v>17</v>
      </c>
      <c r="I148" s="7" t="s">
        <v>18</v>
      </c>
      <c r="J148" s="2" t="s">
        <v>19</v>
      </c>
      <c r="K148" s="3"/>
      <c r="L148" s="2"/>
      <c r="M148" s="3"/>
    </row>
    <row r="149" customFormat="false" ht="15" hidden="false" customHeight="false" outlineLevel="0" collapsed="false">
      <c r="A149" s="2" t="n">
        <v>6</v>
      </c>
      <c r="B149" s="3" t="s">
        <v>166</v>
      </c>
      <c r="C149" s="3" t="s">
        <v>178</v>
      </c>
      <c r="D149" s="2" t="n">
        <v>148</v>
      </c>
      <c r="E149" s="2"/>
      <c r="F149" s="4" t="s">
        <v>191</v>
      </c>
      <c r="G149" s="8" t="s">
        <v>62</v>
      </c>
      <c r="H149" s="6" t="s">
        <v>17</v>
      </c>
      <c r="I149" s="7" t="s">
        <v>18</v>
      </c>
      <c r="J149" s="2" t="s">
        <v>19</v>
      </c>
      <c r="K149" s="3"/>
      <c r="L149" s="2"/>
      <c r="M149" s="3"/>
    </row>
    <row r="150" customFormat="false" ht="15" hidden="false" customHeight="false" outlineLevel="0" collapsed="false">
      <c r="A150" s="2" t="n">
        <v>6</v>
      </c>
      <c r="B150" s="3" t="s">
        <v>166</v>
      </c>
      <c r="C150" s="3" t="s">
        <v>178</v>
      </c>
      <c r="D150" s="2" t="n">
        <v>149</v>
      </c>
      <c r="E150" s="2"/>
      <c r="F150" s="4" t="s">
        <v>192</v>
      </c>
      <c r="G150" s="8" t="s">
        <v>62</v>
      </c>
      <c r="H150" s="6" t="s">
        <v>17</v>
      </c>
      <c r="I150" s="7" t="s">
        <v>18</v>
      </c>
      <c r="J150" s="2" t="s">
        <v>19</v>
      </c>
      <c r="K150" s="3"/>
      <c r="L150" s="2"/>
      <c r="M150" s="3"/>
    </row>
    <row r="151" customFormat="false" ht="15" hidden="false" customHeight="false" outlineLevel="0" collapsed="false">
      <c r="A151" s="2" t="n">
        <v>6</v>
      </c>
      <c r="B151" s="3" t="s">
        <v>166</v>
      </c>
      <c r="C151" s="3" t="s">
        <v>178</v>
      </c>
      <c r="D151" s="2" t="n">
        <v>150</v>
      </c>
      <c r="E151" s="2"/>
      <c r="F151" s="4" t="s">
        <v>193</v>
      </c>
      <c r="G151" s="8" t="s">
        <v>62</v>
      </c>
      <c r="H151" s="6" t="s">
        <v>17</v>
      </c>
      <c r="I151" s="7" t="s">
        <v>18</v>
      </c>
      <c r="J151" s="2" t="s">
        <v>19</v>
      </c>
      <c r="K151" s="3"/>
      <c r="L151" s="2"/>
      <c r="M151" s="3"/>
    </row>
    <row r="152" customFormat="false" ht="15" hidden="false" customHeight="false" outlineLevel="0" collapsed="false">
      <c r="A152" s="2" t="n">
        <v>6</v>
      </c>
      <c r="B152" s="3" t="s">
        <v>166</v>
      </c>
      <c r="C152" s="3" t="s">
        <v>194</v>
      </c>
      <c r="D152" s="2" t="n">
        <v>151</v>
      </c>
      <c r="E152" s="2"/>
      <c r="F152" s="4" t="s">
        <v>195</v>
      </c>
      <c r="G152" s="8" t="s">
        <v>62</v>
      </c>
      <c r="H152" s="6" t="s">
        <v>17</v>
      </c>
      <c r="I152" s="7" t="s">
        <v>18</v>
      </c>
      <c r="J152" s="2" t="s">
        <v>19</v>
      </c>
      <c r="K152" s="3"/>
      <c r="L152" s="2"/>
      <c r="M152" s="3"/>
    </row>
    <row r="153" customFormat="false" ht="15" hidden="false" customHeight="false" outlineLevel="0" collapsed="false">
      <c r="A153" s="2" t="n">
        <v>6</v>
      </c>
      <c r="B153" s="3" t="s">
        <v>166</v>
      </c>
      <c r="C153" s="3" t="s">
        <v>194</v>
      </c>
      <c r="D153" s="2" t="n">
        <v>152</v>
      </c>
      <c r="E153" s="2"/>
      <c r="F153" s="4" t="s">
        <v>196</v>
      </c>
      <c r="G153" s="8" t="s">
        <v>62</v>
      </c>
      <c r="H153" s="6" t="s">
        <v>17</v>
      </c>
      <c r="I153" s="7" t="s">
        <v>18</v>
      </c>
      <c r="J153" s="2" t="s">
        <v>19</v>
      </c>
      <c r="K153" s="3"/>
      <c r="L153" s="2"/>
      <c r="M153" s="3"/>
    </row>
    <row r="154" customFormat="false" ht="15" hidden="false" customHeight="false" outlineLevel="0" collapsed="false">
      <c r="A154" s="2" t="n">
        <v>6</v>
      </c>
      <c r="B154" s="3" t="s">
        <v>166</v>
      </c>
      <c r="C154" s="3" t="s">
        <v>194</v>
      </c>
      <c r="D154" s="2" t="n">
        <v>153</v>
      </c>
      <c r="E154" s="2"/>
      <c r="F154" s="4" t="s">
        <v>197</v>
      </c>
      <c r="G154" s="8" t="s">
        <v>62</v>
      </c>
      <c r="H154" s="6" t="s">
        <v>17</v>
      </c>
      <c r="I154" s="7" t="s">
        <v>18</v>
      </c>
      <c r="J154" s="2" t="s">
        <v>19</v>
      </c>
      <c r="K154" s="3"/>
      <c r="L154" s="2"/>
      <c r="M154" s="3"/>
    </row>
    <row r="155" customFormat="false" ht="15" hidden="false" customHeight="false" outlineLevel="0" collapsed="false">
      <c r="A155" s="2" t="n">
        <v>6</v>
      </c>
      <c r="B155" s="3" t="s">
        <v>166</v>
      </c>
      <c r="C155" s="3" t="s">
        <v>198</v>
      </c>
      <c r="D155" s="2" t="n">
        <v>154</v>
      </c>
      <c r="E155" s="2"/>
      <c r="F155" s="4" t="s">
        <v>199</v>
      </c>
      <c r="G155" s="9" t="s">
        <v>100</v>
      </c>
      <c r="H155" s="6" t="s">
        <v>17</v>
      </c>
      <c r="I155" s="7" t="s">
        <v>18</v>
      </c>
      <c r="J155" s="2" t="s">
        <v>19</v>
      </c>
      <c r="K155" s="3"/>
      <c r="L155" s="2"/>
      <c r="M155" s="3"/>
    </row>
    <row r="156" customFormat="false" ht="15" hidden="false" customHeight="false" outlineLevel="0" collapsed="false">
      <c r="A156" s="2" t="n">
        <v>6</v>
      </c>
      <c r="B156" s="3" t="s">
        <v>166</v>
      </c>
      <c r="C156" s="3" t="s">
        <v>198</v>
      </c>
      <c r="D156" s="2" t="n">
        <v>155</v>
      </c>
      <c r="E156" s="2"/>
      <c r="F156" s="4" t="s">
        <v>200</v>
      </c>
      <c r="G156" s="8" t="s">
        <v>62</v>
      </c>
      <c r="H156" s="6" t="s">
        <v>17</v>
      </c>
      <c r="I156" s="7" t="s">
        <v>18</v>
      </c>
      <c r="J156" s="2" t="s">
        <v>19</v>
      </c>
      <c r="K156" s="3"/>
      <c r="L156" s="2"/>
      <c r="M156" s="3"/>
    </row>
    <row r="157" customFormat="false" ht="15" hidden="false" customHeight="false" outlineLevel="0" collapsed="false">
      <c r="A157" s="2" t="n">
        <v>6</v>
      </c>
      <c r="B157" s="3" t="s">
        <v>166</v>
      </c>
      <c r="C157" s="3" t="s">
        <v>198</v>
      </c>
      <c r="D157" s="2" t="n">
        <v>156</v>
      </c>
      <c r="E157" s="2"/>
      <c r="F157" s="4" t="s">
        <v>201</v>
      </c>
      <c r="G157" s="9" t="s">
        <v>100</v>
      </c>
      <c r="H157" s="6" t="s">
        <v>17</v>
      </c>
      <c r="I157" s="7" t="s">
        <v>18</v>
      </c>
      <c r="J157" s="2" t="s">
        <v>19</v>
      </c>
      <c r="K157" s="3"/>
      <c r="L157" s="2"/>
      <c r="M157" s="3"/>
    </row>
    <row r="158" customFormat="false" ht="15" hidden="false" customHeight="false" outlineLevel="0" collapsed="false">
      <c r="A158" s="2" t="n">
        <v>6</v>
      </c>
      <c r="B158" s="3" t="s">
        <v>166</v>
      </c>
      <c r="C158" s="3" t="s">
        <v>198</v>
      </c>
      <c r="D158" s="2" t="n">
        <v>157</v>
      </c>
      <c r="E158" s="2"/>
      <c r="F158" s="4" t="s">
        <v>202</v>
      </c>
      <c r="G158" s="9" t="s">
        <v>100</v>
      </c>
      <c r="H158" s="6" t="s">
        <v>17</v>
      </c>
      <c r="I158" s="7" t="s">
        <v>18</v>
      </c>
      <c r="J158" s="2" t="s">
        <v>19</v>
      </c>
      <c r="K158" s="3"/>
      <c r="L158" s="2"/>
      <c r="M158" s="3"/>
    </row>
    <row r="159" customFormat="false" ht="15" hidden="false" customHeight="false" outlineLevel="0" collapsed="false">
      <c r="A159" s="2" t="n">
        <v>7</v>
      </c>
      <c r="B159" s="3" t="s">
        <v>203</v>
      </c>
      <c r="C159" s="3" t="s">
        <v>204</v>
      </c>
      <c r="D159" s="2" t="n">
        <v>158</v>
      </c>
      <c r="E159" s="2"/>
      <c r="F159" s="4" t="s">
        <v>205</v>
      </c>
      <c r="G159" s="8" t="s">
        <v>62</v>
      </c>
      <c r="H159" s="6" t="s">
        <v>17</v>
      </c>
      <c r="I159" s="7" t="s">
        <v>18</v>
      </c>
      <c r="J159" s="2" t="s">
        <v>19</v>
      </c>
      <c r="K159" s="3"/>
      <c r="L159" s="2"/>
      <c r="M159" s="3"/>
    </row>
    <row r="160" customFormat="false" ht="15" hidden="false" customHeight="false" outlineLevel="0" collapsed="false">
      <c r="A160" s="2" t="n">
        <v>7</v>
      </c>
      <c r="B160" s="3" t="s">
        <v>203</v>
      </c>
      <c r="C160" s="3" t="s">
        <v>204</v>
      </c>
      <c r="D160" s="2" t="n">
        <v>159</v>
      </c>
      <c r="E160" s="2"/>
      <c r="F160" s="4" t="s">
        <v>206</v>
      </c>
      <c r="G160" s="8" t="s">
        <v>62</v>
      </c>
      <c r="H160" s="6" t="s">
        <v>17</v>
      </c>
      <c r="I160" s="7" t="s">
        <v>18</v>
      </c>
      <c r="J160" s="2" t="s">
        <v>19</v>
      </c>
      <c r="K160" s="3"/>
      <c r="L160" s="2"/>
      <c r="M160" s="3"/>
    </row>
    <row r="161" customFormat="false" ht="15" hidden="false" customHeight="false" outlineLevel="0" collapsed="false">
      <c r="A161" s="2" t="n">
        <v>7</v>
      </c>
      <c r="B161" s="3" t="s">
        <v>203</v>
      </c>
      <c r="C161" s="3" t="s">
        <v>204</v>
      </c>
      <c r="D161" s="2" t="n">
        <v>160</v>
      </c>
      <c r="E161" s="2"/>
      <c r="F161" s="4" t="s">
        <v>207</v>
      </c>
      <c r="G161" s="8" t="s">
        <v>62</v>
      </c>
      <c r="H161" s="6" t="s">
        <v>17</v>
      </c>
      <c r="I161" s="7" t="s">
        <v>18</v>
      </c>
      <c r="J161" s="2" t="s">
        <v>19</v>
      </c>
      <c r="K161" s="3"/>
      <c r="L161" s="2"/>
      <c r="M161" s="3"/>
    </row>
    <row r="162" customFormat="false" ht="15" hidden="false" customHeight="false" outlineLevel="0" collapsed="false">
      <c r="A162" s="2" t="n">
        <v>7</v>
      </c>
      <c r="B162" s="3" t="s">
        <v>203</v>
      </c>
      <c r="C162" s="3" t="s">
        <v>204</v>
      </c>
      <c r="D162" s="2" t="n">
        <v>161</v>
      </c>
      <c r="E162" s="2"/>
      <c r="F162" s="4" t="s">
        <v>208</v>
      </c>
      <c r="G162" s="8" t="s">
        <v>62</v>
      </c>
      <c r="H162" s="6" t="s">
        <v>17</v>
      </c>
      <c r="I162" s="7" t="s">
        <v>18</v>
      </c>
      <c r="J162" s="2" t="s">
        <v>19</v>
      </c>
      <c r="K162" s="3"/>
      <c r="L162" s="2"/>
      <c r="M162" s="3"/>
    </row>
    <row r="163" customFormat="false" ht="15" hidden="false" customHeight="false" outlineLevel="0" collapsed="false">
      <c r="A163" s="2" t="n">
        <v>7</v>
      </c>
      <c r="B163" s="3" t="s">
        <v>203</v>
      </c>
      <c r="C163" s="3" t="s">
        <v>204</v>
      </c>
      <c r="D163" s="2" t="n">
        <v>162</v>
      </c>
      <c r="E163" s="2"/>
      <c r="F163" s="4" t="s">
        <v>209</v>
      </c>
      <c r="G163" s="8" t="s">
        <v>62</v>
      </c>
      <c r="H163" s="6" t="s">
        <v>17</v>
      </c>
      <c r="I163" s="7" t="s">
        <v>18</v>
      </c>
      <c r="J163" s="2" t="s">
        <v>19</v>
      </c>
      <c r="K163" s="3"/>
      <c r="L163" s="2"/>
      <c r="M163" s="3"/>
    </row>
    <row r="164" customFormat="false" ht="15" hidden="false" customHeight="false" outlineLevel="0" collapsed="false">
      <c r="A164" s="2" t="n">
        <v>7</v>
      </c>
      <c r="B164" s="3" t="s">
        <v>203</v>
      </c>
      <c r="C164" s="3" t="s">
        <v>210</v>
      </c>
      <c r="D164" s="2" t="n">
        <v>163</v>
      </c>
      <c r="E164" s="2"/>
      <c r="F164" s="4" t="s">
        <v>211</v>
      </c>
      <c r="G164" s="8" t="s">
        <v>62</v>
      </c>
      <c r="H164" s="6" t="s">
        <v>17</v>
      </c>
      <c r="I164" s="7" t="s">
        <v>18</v>
      </c>
      <c r="J164" s="2" t="s">
        <v>19</v>
      </c>
      <c r="K164" s="3"/>
      <c r="L164" s="2"/>
      <c r="M164" s="3"/>
    </row>
    <row r="165" customFormat="false" ht="15" hidden="false" customHeight="false" outlineLevel="0" collapsed="false">
      <c r="A165" s="2" t="n">
        <v>7</v>
      </c>
      <c r="B165" s="3" t="s">
        <v>203</v>
      </c>
      <c r="C165" s="3" t="s">
        <v>210</v>
      </c>
      <c r="D165" s="2" t="n">
        <v>164</v>
      </c>
      <c r="E165" s="2"/>
      <c r="F165" s="4" t="s">
        <v>212</v>
      </c>
      <c r="G165" s="8" t="s">
        <v>62</v>
      </c>
      <c r="H165" s="6" t="s">
        <v>17</v>
      </c>
      <c r="I165" s="7" t="s">
        <v>18</v>
      </c>
      <c r="J165" s="2" t="s">
        <v>19</v>
      </c>
      <c r="K165" s="3"/>
      <c r="L165" s="2"/>
      <c r="M165" s="3"/>
    </row>
    <row r="166" customFormat="false" ht="15" hidden="false" customHeight="false" outlineLevel="0" collapsed="false">
      <c r="A166" s="2" t="n">
        <v>7</v>
      </c>
      <c r="B166" s="3" t="s">
        <v>203</v>
      </c>
      <c r="C166" s="3" t="s">
        <v>210</v>
      </c>
      <c r="D166" s="2" t="n">
        <v>165</v>
      </c>
      <c r="E166" s="2"/>
      <c r="F166" s="4" t="s">
        <v>213</v>
      </c>
      <c r="G166" s="8" t="s">
        <v>62</v>
      </c>
      <c r="H166" s="6" t="s">
        <v>17</v>
      </c>
      <c r="I166" s="7" t="s">
        <v>18</v>
      </c>
      <c r="J166" s="2" t="s">
        <v>19</v>
      </c>
      <c r="K166" s="3"/>
      <c r="L166" s="2"/>
      <c r="M166" s="3"/>
    </row>
    <row r="167" customFormat="false" ht="15" hidden="false" customHeight="false" outlineLevel="0" collapsed="false">
      <c r="A167" s="2" t="n">
        <v>7</v>
      </c>
      <c r="B167" s="3" t="s">
        <v>203</v>
      </c>
      <c r="C167" s="3" t="s">
        <v>210</v>
      </c>
      <c r="D167" s="2" t="n">
        <v>166</v>
      </c>
      <c r="E167" s="2"/>
      <c r="F167" s="4" t="s">
        <v>214</v>
      </c>
      <c r="G167" s="8" t="s">
        <v>62</v>
      </c>
      <c r="H167" s="6" t="s">
        <v>17</v>
      </c>
      <c r="I167" s="7" t="s">
        <v>18</v>
      </c>
      <c r="J167" s="2" t="s">
        <v>19</v>
      </c>
      <c r="K167" s="3"/>
      <c r="L167" s="2"/>
      <c r="M167" s="3"/>
    </row>
    <row r="168" customFormat="false" ht="15" hidden="false" customHeight="false" outlineLevel="0" collapsed="false">
      <c r="A168" s="2" t="n">
        <v>7</v>
      </c>
      <c r="B168" s="3" t="s">
        <v>203</v>
      </c>
      <c r="C168" s="3" t="s">
        <v>210</v>
      </c>
      <c r="D168" s="2" t="n">
        <v>167</v>
      </c>
      <c r="E168" s="2"/>
      <c r="F168" s="4" t="s">
        <v>215</v>
      </c>
      <c r="G168" s="8" t="s">
        <v>62</v>
      </c>
      <c r="H168" s="6" t="s">
        <v>17</v>
      </c>
      <c r="I168" s="7" t="s">
        <v>18</v>
      </c>
      <c r="J168" s="2" t="s">
        <v>19</v>
      </c>
      <c r="K168" s="3"/>
      <c r="L168" s="2"/>
      <c r="M168" s="3"/>
    </row>
    <row r="169" customFormat="false" ht="15" hidden="false" customHeight="false" outlineLevel="0" collapsed="false">
      <c r="A169" s="2" t="n">
        <v>7</v>
      </c>
      <c r="B169" s="3" t="s">
        <v>203</v>
      </c>
      <c r="C169" s="3" t="s">
        <v>210</v>
      </c>
      <c r="D169" s="2" t="n">
        <v>168</v>
      </c>
      <c r="E169" s="2"/>
      <c r="F169" s="4" t="s">
        <v>216</v>
      </c>
      <c r="G169" s="8" t="s">
        <v>62</v>
      </c>
      <c r="H169" s="6" t="s">
        <v>17</v>
      </c>
      <c r="I169" s="7" t="s">
        <v>18</v>
      </c>
      <c r="J169" s="2" t="s">
        <v>19</v>
      </c>
      <c r="K169" s="3"/>
      <c r="L169" s="2"/>
      <c r="M169" s="3"/>
    </row>
    <row r="170" customFormat="false" ht="15" hidden="false" customHeight="false" outlineLevel="0" collapsed="false">
      <c r="A170" s="2" t="n">
        <v>7</v>
      </c>
      <c r="B170" s="3" t="s">
        <v>203</v>
      </c>
      <c r="C170" s="3" t="s">
        <v>210</v>
      </c>
      <c r="D170" s="2" t="n">
        <v>169</v>
      </c>
      <c r="E170" s="2"/>
      <c r="F170" s="4" t="s">
        <v>217</v>
      </c>
      <c r="G170" s="8" t="s">
        <v>62</v>
      </c>
      <c r="H170" s="6" t="s">
        <v>17</v>
      </c>
      <c r="I170" s="7" t="s">
        <v>18</v>
      </c>
      <c r="J170" s="2" t="s">
        <v>19</v>
      </c>
      <c r="K170" s="3"/>
      <c r="L170" s="2"/>
      <c r="M170" s="3"/>
    </row>
    <row r="171" customFormat="false" ht="15" hidden="false" customHeight="false" outlineLevel="0" collapsed="false">
      <c r="A171" s="2" t="n">
        <v>7</v>
      </c>
      <c r="B171" s="3" t="s">
        <v>203</v>
      </c>
      <c r="C171" s="3" t="s">
        <v>210</v>
      </c>
      <c r="D171" s="2" t="n">
        <v>170</v>
      </c>
      <c r="E171" s="2"/>
      <c r="F171" s="4" t="s">
        <v>218</v>
      </c>
      <c r="G171" s="8" t="s">
        <v>62</v>
      </c>
      <c r="H171" s="6" t="s">
        <v>17</v>
      </c>
      <c r="I171" s="7" t="s">
        <v>18</v>
      </c>
      <c r="J171" s="2" t="s">
        <v>19</v>
      </c>
      <c r="K171" s="3"/>
      <c r="L171" s="2"/>
      <c r="M171" s="3"/>
    </row>
    <row r="172" customFormat="false" ht="15" hidden="false" customHeight="false" outlineLevel="0" collapsed="false">
      <c r="A172" s="2" t="n">
        <v>7</v>
      </c>
      <c r="B172" s="3" t="s">
        <v>203</v>
      </c>
      <c r="C172" s="3" t="s">
        <v>210</v>
      </c>
      <c r="D172" s="2" t="n">
        <v>171</v>
      </c>
      <c r="E172" s="2"/>
      <c r="F172" s="4" t="s">
        <v>219</v>
      </c>
      <c r="G172" s="8" t="s">
        <v>62</v>
      </c>
      <c r="H172" s="6" t="s">
        <v>17</v>
      </c>
      <c r="I172" s="7" t="s">
        <v>18</v>
      </c>
      <c r="J172" s="2" t="s">
        <v>19</v>
      </c>
      <c r="K172" s="3"/>
      <c r="L172" s="2"/>
      <c r="M172" s="3"/>
    </row>
    <row r="173" customFormat="false" ht="15" hidden="false" customHeight="false" outlineLevel="0" collapsed="false">
      <c r="A173" s="2" t="n">
        <v>7</v>
      </c>
      <c r="B173" s="3" t="s">
        <v>203</v>
      </c>
      <c r="C173" s="3" t="s">
        <v>210</v>
      </c>
      <c r="D173" s="2" t="n">
        <v>172</v>
      </c>
      <c r="E173" s="2"/>
      <c r="F173" s="4" t="s">
        <v>220</v>
      </c>
      <c r="G173" s="8" t="s">
        <v>62</v>
      </c>
      <c r="H173" s="6" t="s">
        <v>17</v>
      </c>
      <c r="I173" s="7" t="s">
        <v>18</v>
      </c>
      <c r="J173" s="2" t="s">
        <v>19</v>
      </c>
      <c r="K173" s="3"/>
      <c r="L173" s="2"/>
      <c r="M173" s="3"/>
    </row>
    <row r="174" customFormat="false" ht="15" hidden="false" customHeight="false" outlineLevel="0" collapsed="false">
      <c r="A174" s="2" t="n">
        <v>7</v>
      </c>
      <c r="B174" s="3" t="s">
        <v>203</v>
      </c>
      <c r="C174" s="3" t="s">
        <v>210</v>
      </c>
      <c r="D174" s="2" t="n">
        <v>173</v>
      </c>
      <c r="E174" s="2"/>
      <c r="F174" s="4" t="s">
        <v>221</v>
      </c>
      <c r="G174" s="8" t="s">
        <v>62</v>
      </c>
      <c r="H174" s="6" t="s">
        <v>17</v>
      </c>
      <c r="I174" s="7" t="s">
        <v>18</v>
      </c>
      <c r="J174" s="2" t="s">
        <v>19</v>
      </c>
      <c r="K174" s="3"/>
      <c r="L174" s="2"/>
      <c r="M174" s="3"/>
    </row>
    <row r="175" customFormat="false" ht="15" hidden="false" customHeight="false" outlineLevel="0" collapsed="false">
      <c r="A175" s="2" t="n">
        <v>7</v>
      </c>
      <c r="B175" s="3" t="s">
        <v>203</v>
      </c>
      <c r="C175" s="3" t="s">
        <v>210</v>
      </c>
      <c r="D175" s="2" t="n">
        <v>174</v>
      </c>
      <c r="E175" s="2"/>
      <c r="F175" s="4" t="s">
        <v>222</v>
      </c>
      <c r="G175" s="8" t="s">
        <v>62</v>
      </c>
      <c r="H175" s="6" t="s">
        <v>17</v>
      </c>
      <c r="I175" s="7" t="s">
        <v>18</v>
      </c>
      <c r="J175" s="2" t="s">
        <v>19</v>
      </c>
      <c r="K175" s="3"/>
      <c r="L175" s="2"/>
      <c r="M175" s="3"/>
    </row>
    <row r="176" customFormat="false" ht="15" hidden="false" customHeight="false" outlineLevel="0" collapsed="false">
      <c r="A176" s="2" t="n">
        <v>7</v>
      </c>
      <c r="B176" s="3" t="s">
        <v>203</v>
      </c>
      <c r="C176" s="3" t="s">
        <v>223</v>
      </c>
      <c r="D176" s="2" t="n">
        <v>175</v>
      </c>
      <c r="E176" s="2"/>
      <c r="F176" s="4" t="s">
        <v>224</v>
      </c>
      <c r="G176" s="8" t="s">
        <v>62</v>
      </c>
      <c r="H176" s="6" t="s">
        <v>17</v>
      </c>
      <c r="I176" s="7" t="s">
        <v>18</v>
      </c>
      <c r="J176" s="2" t="s">
        <v>19</v>
      </c>
      <c r="K176" s="3"/>
      <c r="L176" s="2"/>
      <c r="M176" s="3"/>
    </row>
    <row r="177" customFormat="false" ht="15" hidden="false" customHeight="false" outlineLevel="0" collapsed="false">
      <c r="A177" s="2" t="n">
        <v>7</v>
      </c>
      <c r="B177" s="3" t="s">
        <v>203</v>
      </c>
      <c r="C177" s="3" t="s">
        <v>223</v>
      </c>
      <c r="D177" s="2" t="n">
        <v>176</v>
      </c>
      <c r="E177" s="2"/>
      <c r="F177" s="4" t="s">
        <v>225</v>
      </c>
      <c r="G177" s="8" t="s">
        <v>62</v>
      </c>
      <c r="H177" s="6" t="s">
        <v>17</v>
      </c>
      <c r="I177" s="7" t="s">
        <v>18</v>
      </c>
      <c r="J177" s="2" t="s">
        <v>19</v>
      </c>
      <c r="K177" s="3"/>
      <c r="L177" s="2"/>
      <c r="M177" s="3"/>
    </row>
    <row r="178" customFormat="false" ht="15" hidden="false" customHeight="false" outlineLevel="0" collapsed="false">
      <c r="A178" s="2" t="n">
        <v>7</v>
      </c>
      <c r="B178" s="3" t="s">
        <v>203</v>
      </c>
      <c r="C178" s="3" t="s">
        <v>223</v>
      </c>
      <c r="D178" s="2" t="n">
        <v>177</v>
      </c>
      <c r="E178" s="2"/>
      <c r="F178" s="4" t="s">
        <v>226</v>
      </c>
      <c r="G178" s="9" t="s">
        <v>100</v>
      </c>
      <c r="H178" s="6" t="s">
        <v>17</v>
      </c>
      <c r="I178" s="7" t="s">
        <v>18</v>
      </c>
      <c r="J178" s="2" t="s">
        <v>19</v>
      </c>
      <c r="K178" s="3"/>
      <c r="L178" s="2"/>
      <c r="M178" s="3"/>
    </row>
    <row r="179" customFormat="false" ht="15" hidden="false" customHeight="false" outlineLevel="0" collapsed="false">
      <c r="A179" s="2" t="n">
        <v>7</v>
      </c>
      <c r="B179" s="3" t="s">
        <v>203</v>
      </c>
      <c r="C179" s="3" t="s">
        <v>223</v>
      </c>
      <c r="D179" s="2" t="n">
        <v>178</v>
      </c>
      <c r="E179" s="2"/>
      <c r="F179" s="4" t="s">
        <v>227</v>
      </c>
      <c r="G179" s="9" t="s">
        <v>100</v>
      </c>
      <c r="H179" s="6" t="s">
        <v>17</v>
      </c>
      <c r="I179" s="7" t="s">
        <v>18</v>
      </c>
      <c r="J179" s="2" t="s">
        <v>19</v>
      </c>
      <c r="K179" s="3"/>
      <c r="L179" s="2"/>
      <c r="M179" s="3"/>
    </row>
    <row r="180" customFormat="false" ht="15" hidden="false" customHeight="false" outlineLevel="0" collapsed="false">
      <c r="A180" s="2" t="n">
        <v>7</v>
      </c>
      <c r="B180" s="3" t="s">
        <v>203</v>
      </c>
      <c r="C180" s="3" t="s">
        <v>223</v>
      </c>
      <c r="D180" s="2" t="n">
        <v>179</v>
      </c>
      <c r="E180" s="2"/>
      <c r="F180" s="4" t="s">
        <v>228</v>
      </c>
      <c r="G180" s="8" t="s">
        <v>62</v>
      </c>
      <c r="H180" s="6" t="s">
        <v>17</v>
      </c>
      <c r="I180" s="7" t="s">
        <v>18</v>
      </c>
      <c r="J180" s="2" t="s">
        <v>19</v>
      </c>
      <c r="K180" s="3"/>
      <c r="L180" s="2"/>
      <c r="M180" s="3"/>
    </row>
    <row r="181" customFormat="false" ht="15" hidden="false" customHeight="false" outlineLevel="0" collapsed="false">
      <c r="A181" s="2" t="n">
        <v>7</v>
      </c>
      <c r="B181" s="3" t="s">
        <v>203</v>
      </c>
      <c r="C181" s="3" t="s">
        <v>223</v>
      </c>
      <c r="D181" s="2" t="n">
        <v>180</v>
      </c>
      <c r="E181" s="2"/>
      <c r="F181" s="4" t="s">
        <v>229</v>
      </c>
      <c r="G181" s="9" t="s">
        <v>100</v>
      </c>
      <c r="H181" s="6" t="s">
        <v>17</v>
      </c>
      <c r="I181" s="7" t="s">
        <v>18</v>
      </c>
      <c r="J181" s="2" t="s">
        <v>19</v>
      </c>
      <c r="K181" s="3"/>
      <c r="L181" s="2"/>
      <c r="M181" s="3"/>
    </row>
    <row r="182" customFormat="false" ht="15" hidden="false" customHeight="false" outlineLevel="0" collapsed="false">
      <c r="A182" s="2" t="n">
        <v>7</v>
      </c>
      <c r="B182" s="3" t="s">
        <v>203</v>
      </c>
      <c r="C182" s="3" t="s">
        <v>223</v>
      </c>
      <c r="D182" s="2" t="n">
        <v>181</v>
      </c>
      <c r="E182" s="2"/>
      <c r="F182" s="4" t="s">
        <v>230</v>
      </c>
      <c r="G182" s="9" t="s">
        <v>100</v>
      </c>
      <c r="H182" s="6" t="s">
        <v>17</v>
      </c>
      <c r="I182" s="7" t="s">
        <v>18</v>
      </c>
      <c r="J182" s="2" t="s">
        <v>19</v>
      </c>
      <c r="K182" s="3"/>
      <c r="L182" s="2"/>
      <c r="M182" s="3"/>
    </row>
    <row r="183" customFormat="false" ht="15" hidden="false" customHeight="false" outlineLevel="0" collapsed="false">
      <c r="A183" s="2" t="n">
        <v>7</v>
      </c>
      <c r="B183" s="3" t="s">
        <v>203</v>
      </c>
      <c r="C183" s="3" t="s">
        <v>223</v>
      </c>
      <c r="D183" s="2" t="n">
        <v>182</v>
      </c>
      <c r="E183" s="2"/>
      <c r="F183" s="4" t="s">
        <v>231</v>
      </c>
      <c r="G183" s="9" t="s">
        <v>100</v>
      </c>
      <c r="H183" s="6" t="s">
        <v>17</v>
      </c>
      <c r="I183" s="7" t="s">
        <v>18</v>
      </c>
      <c r="J183" s="2" t="s">
        <v>19</v>
      </c>
      <c r="K183" s="3"/>
      <c r="L183" s="2"/>
      <c r="M183" s="3"/>
    </row>
    <row r="184" customFormat="false" ht="15" hidden="false" customHeight="false" outlineLevel="0" collapsed="false">
      <c r="A184" s="2" t="n">
        <v>8</v>
      </c>
      <c r="B184" s="3" t="s">
        <v>232</v>
      </c>
      <c r="C184" s="3" t="s">
        <v>233</v>
      </c>
      <c r="D184" s="2" t="n">
        <v>183</v>
      </c>
      <c r="E184" s="2"/>
      <c r="F184" s="4" t="s">
        <v>234</v>
      </c>
      <c r="G184" s="5" t="s">
        <v>16</v>
      </c>
      <c r="H184" s="6" t="s">
        <v>17</v>
      </c>
      <c r="I184" s="7" t="s">
        <v>18</v>
      </c>
      <c r="J184" s="2" t="s">
        <v>19</v>
      </c>
      <c r="K184" s="3"/>
      <c r="L184" s="2"/>
      <c r="M184" s="3"/>
    </row>
    <row r="185" customFormat="false" ht="15" hidden="false" customHeight="false" outlineLevel="0" collapsed="false">
      <c r="A185" s="2" t="n">
        <v>8</v>
      </c>
      <c r="B185" s="3" t="s">
        <v>232</v>
      </c>
      <c r="C185" s="3" t="s">
        <v>233</v>
      </c>
      <c r="D185" s="2" t="n">
        <v>184</v>
      </c>
      <c r="E185" s="2"/>
      <c r="F185" s="4" t="s">
        <v>235</v>
      </c>
      <c r="G185" s="5" t="s">
        <v>16</v>
      </c>
      <c r="H185" s="6" t="s">
        <v>17</v>
      </c>
      <c r="I185" s="7" t="s">
        <v>18</v>
      </c>
      <c r="J185" s="2" t="s">
        <v>19</v>
      </c>
      <c r="K185" s="3"/>
      <c r="L185" s="2"/>
      <c r="M185" s="3"/>
    </row>
    <row r="186" customFormat="false" ht="15" hidden="false" customHeight="false" outlineLevel="0" collapsed="false">
      <c r="A186" s="2" t="n">
        <v>8</v>
      </c>
      <c r="B186" s="3" t="s">
        <v>232</v>
      </c>
      <c r="C186" s="3" t="s">
        <v>233</v>
      </c>
      <c r="D186" s="2" t="n">
        <v>185</v>
      </c>
      <c r="E186" s="2"/>
      <c r="F186" s="4" t="s">
        <v>236</v>
      </c>
      <c r="G186" s="5" t="s">
        <v>16</v>
      </c>
      <c r="H186" s="6" t="s">
        <v>17</v>
      </c>
      <c r="I186" s="7" t="s">
        <v>18</v>
      </c>
      <c r="J186" s="2" t="s">
        <v>19</v>
      </c>
      <c r="K186" s="3"/>
      <c r="L186" s="2"/>
      <c r="M186" s="3"/>
    </row>
    <row r="187" customFormat="false" ht="15" hidden="false" customHeight="false" outlineLevel="0" collapsed="false">
      <c r="A187" s="2" t="n">
        <v>8</v>
      </c>
      <c r="B187" s="3" t="s">
        <v>232</v>
      </c>
      <c r="C187" s="3" t="s">
        <v>233</v>
      </c>
      <c r="D187" s="2" t="n">
        <v>186</v>
      </c>
      <c r="E187" s="2"/>
      <c r="F187" s="4" t="s">
        <v>237</v>
      </c>
      <c r="G187" s="5" t="s">
        <v>16</v>
      </c>
      <c r="H187" s="6" t="s">
        <v>17</v>
      </c>
      <c r="I187" s="7" t="s">
        <v>18</v>
      </c>
      <c r="J187" s="2" t="s">
        <v>19</v>
      </c>
      <c r="K187" s="3"/>
      <c r="L187" s="2"/>
      <c r="M187" s="3"/>
    </row>
    <row r="188" customFormat="false" ht="15" hidden="false" customHeight="false" outlineLevel="0" collapsed="false">
      <c r="A188" s="2" t="n">
        <v>8</v>
      </c>
      <c r="B188" s="3" t="s">
        <v>232</v>
      </c>
      <c r="C188" s="3" t="s">
        <v>233</v>
      </c>
      <c r="D188" s="2" t="n">
        <v>187</v>
      </c>
      <c r="E188" s="2"/>
      <c r="F188" s="4" t="s">
        <v>238</v>
      </c>
      <c r="G188" s="5" t="s">
        <v>16</v>
      </c>
      <c r="H188" s="6" t="s">
        <v>17</v>
      </c>
      <c r="I188" s="7" t="s">
        <v>18</v>
      </c>
      <c r="J188" s="2" t="s">
        <v>19</v>
      </c>
      <c r="K188" s="3"/>
      <c r="L188" s="2"/>
      <c r="M188" s="3"/>
    </row>
    <row r="189" customFormat="false" ht="15" hidden="false" customHeight="false" outlineLevel="0" collapsed="false">
      <c r="A189" s="2" t="n">
        <v>8</v>
      </c>
      <c r="B189" s="3" t="s">
        <v>232</v>
      </c>
      <c r="C189" s="3" t="s">
        <v>233</v>
      </c>
      <c r="D189" s="2" t="n">
        <v>188</v>
      </c>
      <c r="E189" s="2"/>
      <c r="F189" s="4" t="s">
        <v>239</v>
      </c>
      <c r="G189" s="5" t="s">
        <v>16</v>
      </c>
      <c r="H189" s="6" t="s">
        <v>17</v>
      </c>
      <c r="I189" s="7" t="s">
        <v>18</v>
      </c>
      <c r="J189" s="2" t="s">
        <v>19</v>
      </c>
      <c r="K189" s="3"/>
      <c r="L189" s="2"/>
      <c r="M189" s="3"/>
    </row>
    <row r="190" customFormat="false" ht="15" hidden="false" customHeight="false" outlineLevel="0" collapsed="false">
      <c r="A190" s="2" t="n">
        <v>8</v>
      </c>
      <c r="B190" s="3" t="s">
        <v>232</v>
      </c>
      <c r="C190" s="3" t="s">
        <v>233</v>
      </c>
      <c r="D190" s="2" t="n">
        <v>189</v>
      </c>
      <c r="E190" s="2"/>
      <c r="F190" s="4" t="s">
        <v>240</v>
      </c>
      <c r="G190" s="5" t="s">
        <v>16</v>
      </c>
      <c r="H190" s="6" t="s">
        <v>17</v>
      </c>
      <c r="I190" s="7" t="s">
        <v>18</v>
      </c>
      <c r="J190" s="2" t="s">
        <v>19</v>
      </c>
      <c r="K190" s="3"/>
      <c r="L190" s="2"/>
      <c r="M190" s="3"/>
    </row>
    <row r="191" customFormat="false" ht="15" hidden="false" customHeight="false" outlineLevel="0" collapsed="false">
      <c r="A191" s="2" t="n">
        <v>8</v>
      </c>
      <c r="B191" s="3" t="s">
        <v>232</v>
      </c>
      <c r="C191" s="3" t="s">
        <v>241</v>
      </c>
      <c r="D191" s="2" t="n">
        <v>190</v>
      </c>
      <c r="E191" s="2"/>
      <c r="F191" s="4" t="s">
        <v>242</v>
      </c>
      <c r="G191" s="5" t="s">
        <v>16</v>
      </c>
      <c r="H191" s="6" t="s">
        <v>17</v>
      </c>
      <c r="I191" s="7" t="s">
        <v>18</v>
      </c>
      <c r="J191" s="2" t="s">
        <v>19</v>
      </c>
      <c r="K191" s="3"/>
      <c r="L191" s="2"/>
      <c r="M191" s="3"/>
    </row>
    <row r="192" customFormat="false" ht="15" hidden="false" customHeight="false" outlineLevel="0" collapsed="false">
      <c r="A192" s="2" t="n">
        <v>8</v>
      </c>
      <c r="B192" s="3" t="s">
        <v>232</v>
      </c>
      <c r="C192" s="3" t="s">
        <v>241</v>
      </c>
      <c r="D192" s="2" t="n">
        <v>191</v>
      </c>
      <c r="E192" s="2"/>
      <c r="F192" s="4" t="s">
        <v>243</v>
      </c>
      <c r="G192" s="8" t="s">
        <v>62</v>
      </c>
      <c r="H192" s="6" t="s">
        <v>17</v>
      </c>
      <c r="I192" s="7" t="s">
        <v>18</v>
      </c>
      <c r="J192" s="2" t="s">
        <v>19</v>
      </c>
      <c r="K192" s="3"/>
      <c r="L192" s="2"/>
      <c r="M192" s="3"/>
    </row>
    <row r="193" customFormat="false" ht="15" hidden="false" customHeight="false" outlineLevel="0" collapsed="false">
      <c r="A193" s="2" t="n">
        <v>8</v>
      </c>
      <c r="B193" s="3" t="s">
        <v>232</v>
      </c>
      <c r="C193" s="3" t="s">
        <v>241</v>
      </c>
      <c r="D193" s="2" t="n">
        <v>192</v>
      </c>
      <c r="E193" s="2"/>
      <c r="F193" s="4" t="s">
        <v>244</v>
      </c>
      <c r="G193" s="8" t="s">
        <v>62</v>
      </c>
      <c r="H193" s="6" t="s">
        <v>17</v>
      </c>
      <c r="I193" s="7" t="s">
        <v>18</v>
      </c>
      <c r="J193" s="2" t="s">
        <v>19</v>
      </c>
      <c r="K193" s="3"/>
      <c r="L193" s="2"/>
      <c r="M193" s="3"/>
    </row>
    <row r="194" customFormat="false" ht="15" hidden="false" customHeight="false" outlineLevel="0" collapsed="false">
      <c r="A194" s="2" t="n">
        <v>8</v>
      </c>
      <c r="B194" s="3" t="s">
        <v>232</v>
      </c>
      <c r="C194" s="3" t="s">
        <v>241</v>
      </c>
      <c r="D194" s="2" t="n">
        <v>193</v>
      </c>
      <c r="E194" s="2"/>
      <c r="F194" s="4" t="s">
        <v>245</v>
      </c>
      <c r="G194" s="8" t="s">
        <v>62</v>
      </c>
      <c r="H194" s="6" t="s">
        <v>17</v>
      </c>
      <c r="I194" s="7" t="s">
        <v>18</v>
      </c>
      <c r="J194" s="2" t="s">
        <v>19</v>
      </c>
      <c r="K194" s="3"/>
      <c r="L194" s="2"/>
      <c r="M194" s="3"/>
    </row>
    <row r="195" customFormat="false" ht="15" hidden="false" customHeight="false" outlineLevel="0" collapsed="false">
      <c r="A195" s="2" t="n">
        <v>8</v>
      </c>
      <c r="B195" s="3" t="s">
        <v>232</v>
      </c>
      <c r="C195" s="3" t="s">
        <v>241</v>
      </c>
      <c r="D195" s="2" t="n">
        <v>194</v>
      </c>
      <c r="E195" s="2"/>
      <c r="F195" s="4" t="s">
        <v>246</v>
      </c>
      <c r="G195" s="8" t="s">
        <v>62</v>
      </c>
      <c r="H195" s="6" t="s">
        <v>17</v>
      </c>
      <c r="I195" s="7" t="s">
        <v>18</v>
      </c>
      <c r="J195" s="2" t="s">
        <v>19</v>
      </c>
      <c r="K195" s="3"/>
      <c r="L195" s="2"/>
      <c r="M195" s="3"/>
    </row>
    <row r="196" customFormat="false" ht="15" hidden="false" customHeight="false" outlineLevel="0" collapsed="false">
      <c r="A196" s="2" t="n">
        <v>8</v>
      </c>
      <c r="B196" s="3" t="s">
        <v>232</v>
      </c>
      <c r="C196" s="3" t="s">
        <v>247</v>
      </c>
      <c r="D196" s="2" t="n">
        <v>195</v>
      </c>
      <c r="E196" s="2"/>
      <c r="F196" s="4" t="s">
        <v>248</v>
      </c>
      <c r="G196" s="5" t="s">
        <v>16</v>
      </c>
      <c r="H196" s="6" t="s">
        <v>17</v>
      </c>
      <c r="I196" s="7" t="s">
        <v>18</v>
      </c>
      <c r="J196" s="2" t="s">
        <v>19</v>
      </c>
      <c r="K196" s="3"/>
      <c r="L196" s="2"/>
      <c r="M196" s="3"/>
    </row>
    <row r="197" customFormat="false" ht="15" hidden="false" customHeight="false" outlineLevel="0" collapsed="false">
      <c r="A197" s="2" t="n">
        <v>8</v>
      </c>
      <c r="B197" s="3" t="s">
        <v>232</v>
      </c>
      <c r="C197" s="3" t="s">
        <v>247</v>
      </c>
      <c r="D197" s="2" t="n">
        <v>196</v>
      </c>
      <c r="E197" s="2"/>
      <c r="F197" s="4" t="s">
        <v>249</v>
      </c>
      <c r="G197" s="8" t="s">
        <v>62</v>
      </c>
      <c r="H197" s="6" t="s">
        <v>17</v>
      </c>
      <c r="I197" s="7" t="s">
        <v>18</v>
      </c>
      <c r="J197" s="2" t="s">
        <v>19</v>
      </c>
      <c r="K197" s="3"/>
      <c r="L197" s="2"/>
      <c r="M197" s="3"/>
    </row>
    <row r="198" customFormat="false" ht="15" hidden="false" customHeight="false" outlineLevel="0" collapsed="false">
      <c r="A198" s="2" t="n">
        <v>8</v>
      </c>
      <c r="B198" s="3" t="s">
        <v>232</v>
      </c>
      <c r="C198" s="3" t="s">
        <v>247</v>
      </c>
      <c r="D198" s="2" t="n">
        <v>197</v>
      </c>
      <c r="E198" s="2"/>
      <c r="F198" s="4" t="s">
        <v>250</v>
      </c>
      <c r="G198" s="8" t="s">
        <v>62</v>
      </c>
      <c r="H198" s="6" t="s">
        <v>17</v>
      </c>
      <c r="I198" s="7" t="s">
        <v>18</v>
      </c>
      <c r="J198" s="2" t="s">
        <v>19</v>
      </c>
      <c r="K198" s="3"/>
      <c r="L198" s="2"/>
      <c r="M198" s="3"/>
    </row>
    <row r="199" customFormat="false" ht="15" hidden="false" customHeight="false" outlineLevel="0" collapsed="false">
      <c r="A199" s="2" t="n">
        <v>8</v>
      </c>
      <c r="B199" s="3" t="s">
        <v>232</v>
      </c>
      <c r="C199" s="3" t="s">
        <v>247</v>
      </c>
      <c r="D199" s="2" t="n">
        <v>198</v>
      </c>
      <c r="E199" s="2"/>
      <c r="F199" s="4" t="s">
        <v>251</v>
      </c>
      <c r="G199" s="5" t="s">
        <v>16</v>
      </c>
      <c r="H199" s="6" t="s">
        <v>17</v>
      </c>
      <c r="I199" s="7" t="s">
        <v>18</v>
      </c>
      <c r="J199" s="2" t="s">
        <v>19</v>
      </c>
      <c r="K199" s="3"/>
      <c r="L199" s="2"/>
      <c r="M199" s="3"/>
    </row>
    <row r="200" customFormat="false" ht="15" hidden="false" customHeight="false" outlineLevel="0" collapsed="false">
      <c r="A200" s="2" t="n">
        <v>8</v>
      </c>
      <c r="B200" s="3" t="s">
        <v>232</v>
      </c>
      <c r="C200" s="3" t="s">
        <v>247</v>
      </c>
      <c r="D200" s="2" t="n">
        <v>199</v>
      </c>
      <c r="E200" s="2"/>
      <c r="F200" s="4" t="s">
        <v>252</v>
      </c>
      <c r="G200" s="5" t="s">
        <v>16</v>
      </c>
      <c r="H200" s="6" t="s">
        <v>17</v>
      </c>
      <c r="I200" s="7" t="s">
        <v>18</v>
      </c>
      <c r="J200" s="2" t="s">
        <v>19</v>
      </c>
      <c r="K200" s="3"/>
      <c r="L200" s="2"/>
      <c r="M200" s="3"/>
    </row>
    <row r="201" customFormat="false" ht="15" hidden="false" customHeight="false" outlineLevel="0" collapsed="false">
      <c r="A201" s="2" t="n">
        <v>8</v>
      </c>
      <c r="B201" s="3" t="s">
        <v>232</v>
      </c>
      <c r="C201" s="3" t="s">
        <v>247</v>
      </c>
      <c r="D201" s="2" t="n">
        <v>200</v>
      </c>
      <c r="E201" s="2"/>
      <c r="F201" s="4" t="s">
        <v>253</v>
      </c>
      <c r="G201" s="8" t="s">
        <v>62</v>
      </c>
      <c r="H201" s="6" t="s">
        <v>17</v>
      </c>
      <c r="I201" s="7" t="s">
        <v>18</v>
      </c>
      <c r="J201" s="2" t="s">
        <v>19</v>
      </c>
      <c r="K201" s="3"/>
      <c r="L201" s="2"/>
      <c r="M201" s="3"/>
    </row>
    <row r="202" customFormat="false" ht="15" hidden="false" customHeight="false" outlineLevel="0" collapsed="false">
      <c r="A202" s="2" t="n">
        <v>9</v>
      </c>
      <c r="B202" s="3" t="s">
        <v>254</v>
      </c>
      <c r="C202" s="3" t="s">
        <v>255</v>
      </c>
      <c r="D202" s="2" t="n">
        <v>201</v>
      </c>
      <c r="E202" s="2"/>
      <c r="F202" s="4" t="s">
        <v>256</v>
      </c>
      <c r="G202" s="5" t="s">
        <v>16</v>
      </c>
      <c r="H202" s="6" t="s">
        <v>17</v>
      </c>
      <c r="I202" s="7" t="s">
        <v>18</v>
      </c>
      <c r="J202" s="2" t="s">
        <v>19</v>
      </c>
      <c r="K202" s="3"/>
      <c r="L202" s="2"/>
      <c r="M202" s="3"/>
    </row>
    <row r="203" customFormat="false" ht="15" hidden="false" customHeight="false" outlineLevel="0" collapsed="false">
      <c r="A203" s="2" t="n">
        <v>9</v>
      </c>
      <c r="B203" s="3" t="s">
        <v>254</v>
      </c>
      <c r="C203" s="3" t="s">
        <v>255</v>
      </c>
      <c r="D203" s="2" t="n">
        <v>202</v>
      </c>
      <c r="E203" s="2"/>
      <c r="F203" s="4" t="s">
        <v>257</v>
      </c>
      <c r="G203" s="5" t="s">
        <v>16</v>
      </c>
      <c r="H203" s="6" t="s">
        <v>17</v>
      </c>
      <c r="I203" s="7" t="s">
        <v>18</v>
      </c>
      <c r="J203" s="2" t="s">
        <v>19</v>
      </c>
      <c r="K203" s="3"/>
      <c r="L203" s="2"/>
      <c r="M203" s="3"/>
    </row>
    <row r="204" customFormat="false" ht="15" hidden="false" customHeight="false" outlineLevel="0" collapsed="false">
      <c r="A204" s="2" t="n">
        <v>9</v>
      </c>
      <c r="B204" s="3" t="s">
        <v>254</v>
      </c>
      <c r="C204" s="3" t="s">
        <v>255</v>
      </c>
      <c r="D204" s="2" t="n">
        <v>203</v>
      </c>
      <c r="E204" s="2"/>
      <c r="F204" s="4" t="s">
        <v>258</v>
      </c>
      <c r="G204" s="8" t="s">
        <v>62</v>
      </c>
      <c r="H204" s="6" t="s">
        <v>17</v>
      </c>
      <c r="I204" s="7" t="s">
        <v>18</v>
      </c>
      <c r="J204" s="2" t="s">
        <v>19</v>
      </c>
      <c r="K204" s="3"/>
      <c r="L204" s="2"/>
      <c r="M204" s="3"/>
    </row>
    <row r="205" customFormat="false" ht="15" hidden="false" customHeight="false" outlineLevel="0" collapsed="false">
      <c r="A205" s="2" t="n">
        <v>9</v>
      </c>
      <c r="B205" s="3" t="s">
        <v>254</v>
      </c>
      <c r="C205" s="3" t="s">
        <v>255</v>
      </c>
      <c r="D205" s="2" t="n">
        <v>204</v>
      </c>
      <c r="E205" s="2"/>
      <c r="F205" s="4" t="s">
        <v>259</v>
      </c>
      <c r="G205" s="8" t="s">
        <v>62</v>
      </c>
      <c r="H205" s="6" t="s">
        <v>17</v>
      </c>
      <c r="I205" s="7" t="s">
        <v>18</v>
      </c>
      <c r="J205" s="2" t="s">
        <v>19</v>
      </c>
      <c r="K205" s="3"/>
      <c r="L205" s="2"/>
      <c r="M205" s="3"/>
    </row>
    <row r="206" customFormat="false" ht="15" hidden="false" customHeight="false" outlineLevel="0" collapsed="false">
      <c r="A206" s="2" t="n">
        <v>9</v>
      </c>
      <c r="B206" s="3" t="s">
        <v>254</v>
      </c>
      <c r="C206" s="3" t="s">
        <v>255</v>
      </c>
      <c r="D206" s="2" t="n">
        <v>205</v>
      </c>
      <c r="E206" s="2"/>
      <c r="F206" s="4" t="s">
        <v>260</v>
      </c>
      <c r="G206" s="5" t="s">
        <v>16</v>
      </c>
      <c r="H206" s="6" t="s">
        <v>17</v>
      </c>
      <c r="I206" s="7" t="s">
        <v>18</v>
      </c>
      <c r="J206" s="2" t="s">
        <v>19</v>
      </c>
      <c r="K206" s="3"/>
      <c r="L206" s="2"/>
      <c r="M206" s="3"/>
    </row>
    <row r="207" customFormat="false" ht="15" hidden="false" customHeight="false" outlineLevel="0" collapsed="false">
      <c r="A207" s="2" t="n">
        <v>9</v>
      </c>
      <c r="B207" s="3" t="s">
        <v>254</v>
      </c>
      <c r="C207" s="3" t="s">
        <v>255</v>
      </c>
      <c r="D207" s="2" t="n">
        <v>206</v>
      </c>
      <c r="E207" s="2"/>
      <c r="F207" s="4" t="s">
        <v>261</v>
      </c>
      <c r="G207" s="8" t="s">
        <v>62</v>
      </c>
      <c r="H207" s="6" t="s">
        <v>17</v>
      </c>
      <c r="I207" s="7" t="s">
        <v>18</v>
      </c>
      <c r="J207" s="2" t="s">
        <v>19</v>
      </c>
      <c r="K207" s="3"/>
      <c r="L207" s="2"/>
      <c r="M207" s="3"/>
    </row>
    <row r="208" customFormat="false" ht="15" hidden="false" customHeight="false" outlineLevel="0" collapsed="false">
      <c r="A208" s="2" t="n">
        <v>9</v>
      </c>
      <c r="B208" s="3" t="s">
        <v>254</v>
      </c>
      <c r="C208" s="3" t="s">
        <v>255</v>
      </c>
      <c r="D208" s="2" t="n">
        <v>207</v>
      </c>
      <c r="E208" s="2"/>
      <c r="F208" s="4" t="s">
        <v>262</v>
      </c>
      <c r="G208" s="5" t="s">
        <v>16</v>
      </c>
      <c r="H208" s="6" t="s">
        <v>17</v>
      </c>
      <c r="I208" s="7" t="s">
        <v>18</v>
      </c>
      <c r="J208" s="2" t="s">
        <v>19</v>
      </c>
      <c r="K208" s="3"/>
      <c r="L208" s="2"/>
      <c r="M208" s="3"/>
    </row>
    <row r="209" customFormat="false" ht="15" hidden="false" customHeight="false" outlineLevel="0" collapsed="false">
      <c r="A209" s="2" t="n">
        <v>9</v>
      </c>
      <c r="B209" s="3" t="s">
        <v>254</v>
      </c>
      <c r="C209" s="3" t="s">
        <v>255</v>
      </c>
      <c r="D209" s="2" t="n">
        <v>208</v>
      </c>
      <c r="E209" s="2"/>
      <c r="F209" s="4" t="s">
        <v>263</v>
      </c>
      <c r="G209" s="8" t="s">
        <v>62</v>
      </c>
      <c r="H209" s="6" t="s">
        <v>17</v>
      </c>
      <c r="I209" s="7" t="s">
        <v>18</v>
      </c>
      <c r="J209" s="2" t="s">
        <v>19</v>
      </c>
      <c r="K209" s="3"/>
      <c r="L209" s="2"/>
      <c r="M209" s="3"/>
    </row>
    <row r="210" customFormat="false" ht="15" hidden="false" customHeight="false" outlineLevel="0" collapsed="false">
      <c r="A210" s="2" t="n">
        <v>9</v>
      </c>
      <c r="B210" s="3" t="s">
        <v>254</v>
      </c>
      <c r="C210" s="3" t="s">
        <v>264</v>
      </c>
      <c r="D210" s="2" t="n">
        <v>209</v>
      </c>
      <c r="E210" s="2"/>
      <c r="F210" s="4" t="s">
        <v>265</v>
      </c>
      <c r="G210" s="8" t="s">
        <v>62</v>
      </c>
      <c r="H210" s="6" t="s">
        <v>17</v>
      </c>
      <c r="I210" s="7" t="s">
        <v>18</v>
      </c>
      <c r="J210" s="2" t="s">
        <v>19</v>
      </c>
      <c r="K210" s="3"/>
      <c r="L210" s="2"/>
      <c r="M210" s="3"/>
    </row>
    <row r="211" customFormat="false" ht="15" hidden="false" customHeight="false" outlineLevel="0" collapsed="false">
      <c r="A211" s="2" t="n">
        <v>9</v>
      </c>
      <c r="B211" s="3" t="s">
        <v>254</v>
      </c>
      <c r="C211" s="3" t="s">
        <v>264</v>
      </c>
      <c r="D211" s="2" t="n">
        <v>210</v>
      </c>
      <c r="E211" s="2"/>
      <c r="F211" s="4" t="s">
        <v>266</v>
      </c>
      <c r="G211" s="8" t="s">
        <v>62</v>
      </c>
      <c r="H211" s="6" t="s">
        <v>17</v>
      </c>
      <c r="I211" s="7" t="s">
        <v>18</v>
      </c>
      <c r="J211" s="2" t="s">
        <v>19</v>
      </c>
      <c r="K211" s="3"/>
      <c r="L211" s="2"/>
      <c r="M211" s="3"/>
    </row>
    <row r="212" customFormat="false" ht="15" hidden="false" customHeight="false" outlineLevel="0" collapsed="false">
      <c r="A212" s="2" t="n">
        <v>9</v>
      </c>
      <c r="B212" s="3" t="s">
        <v>254</v>
      </c>
      <c r="C212" s="3" t="s">
        <v>264</v>
      </c>
      <c r="D212" s="2" t="n">
        <v>211</v>
      </c>
      <c r="E212" s="2"/>
      <c r="F212" s="4" t="s">
        <v>267</v>
      </c>
      <c r="G212" s="8" t="s">
        <v>62</v>
      </c>
      <c r="H212" s="6" t="s">
        <v>17</v>
      </c>
      <c r="I212" s="7" t="s">
        <v>18</v>
      </c>
      <c r="J212" s="2" t="s">
        <v>19</v>
      </c>
      <c r="K212" s="3"/>
      <c r="L212" s="2"/>
      <c r="M212" s="3"/>
    </row>
    <row r="213" customFormat="false" ht="15" hidden="false" customHeight="false" outlineLevel="0" collapsed="false">
      <c r="A213" s="2" t="n">
        <v>9</v>
      </c>
      <c r="B213" s="3" t="s">
        <v>254</v>
      </c>
      <c r="C213" s="3" t="s">
        <v>264</v>
      </c>
      <c r="D213" s="2" t="n">
        <v>212</v>
      </c>
      <c r="E213" s="2"/>
      <c r="F213" s="4" t="s">
        <v>268</v>
      </c>
      <c r="G213" s="8" t="s">
        <v>62</v>
      </c>
      <c r="H213" s="6" t="s">
        <v>17</v>
      </c>
      <c r="I213" s="7" t="s">
        <v>18</v>
      </c>
      <c r="J213" s="2" t="s">
        <v>19</v>
      </c>
      <c r="K213" s="3"/>
      <c r="L213" s="2"/>
      <c r="M213" s="3"/>
    </row>
    <row r="214" customFormat="false" ht="15" hidden="false" customHeight="false" outlineLevel="0" collapsed="false">
      <c r="A214" s="2" t="n">
        <v>9</v>
      </c>
      <c r="B214" s="3" t="s">
        <v>254</v>
      </c>
      <c r="C214" s="3" t="s">
        <v>264</v>
      </c>
      <c r="D214" s="2" t="n">
        <v>213</v>
      </c>
      <c r="E214" s="2"/>
      <c r="F214" s="4" t="s">
        <v>269</v>
      </c>
      <c r="G214" s="8" t="s">
        <v>62</v>
      </c>
      <c r="H214" s="6" t="s">
        <v>17</v>
      </c>
      <c r="I214" s="7" t="s">
        <v>18</v>
      </c>
      <c r="J214" s="2" t="s">
        <v>19</v>
      </c>
      <c r="K214" s="3"/>
      <c r="L214" s="2"/>
      <c r="M214" s="3"/>
    </row>
    <row r="215" customFormat="false" ht="15" hidden="false" customHeight="false" outlineLevel="0" collapsed="false">
      <c r="A215" s="2" t="n">
        <v>9</v>
      </c>
      <c r="B215" s="3" t="s">
        <v>254</v>
      </c>
      <c r="C215" s="3" t="s">
        <v>264</v>
      </c>
      <c r="D215" s="2" t="n">
        <v>214</v>
      </c>
      <c r="E215" s="2"/>
      <c r="F215" s="4" t="s">
        <v>270</v>
      </c>
      <c r="G215" s="8" t="s">
        <v>62</v>
      </c>
      <c r="H215" s="6" t="s">
        <v>17</v>
      </c>
      <c r="I215" s="7" t="s">
        <v>18</v>
      </c>
      <c r="J215" s="2" t="s">
        <v>19</v>
      </c>
      <c r="K215" s="3"/>
      <c r="L215" s="2"/>
      <c r="M215" s="3"/>
    </row>
    <row r="216" customFormat="false" ht="15" hidden="false" customHeight="false" outlineLevel="0" collapsed="false">
      <c r="A216" s="2" t="n">
        <v>9</v>
      </c>
      <c r="B216" s="3" t="s">
        <v>254</v>
      </c>
      <c r="C216" s="3" t="s">
        <v>271</v>
      </c>
      <c r="D216" s="2" t="n">
        <v>215</v>
      </c>
      <c r="E216" s="2"/>
      <c r="F216" s="4" t="s">
        <v>272</v>
      </c>
      <c r="G216" s="8" t="s">
        <v>62</v>
      </c>
      <c r="H216" s="6" t="s">
        <v>17</v>
      </c>
      <c r="I216" s="7" t="s">
        <v>18</v>
      </c>
      <c r="J216" s="2" t="s">
        <v>19</v>
      </c>
      <c r="K216" s="3"/>
      <c r="L216" s="2"/>
      <c r="M216" s="3"/>
    </row>
    <row r="217" customFormat="false" ht="15" hidden="false" customHeight="false" outlineLevel="0" collapsed="false">
      <c r="A217" s="2" t="n">
        <v>9</v>
      </c>
      <c r="B217" s="3" t="s">
        <v>254</v>
      </c>
      <c r="C217" s="3" t="s">
        <v>271</v>
      </c>
      <c r="D217" s="2" t="n">
        <v>216</v>
      </c>
      <c r="E217" s="2"/>
      <c r="F217" s="4" t="s">
        <v>273</v>
      </c>
      <c r="G217" s="8" t="s">
        <v>62</v>
      </c>
      <c r="H217" s="6" t="s">
        <v>17</v>
      </c>
      <c r="I217" s="7" t="s">
        <v>18</v>
      </c>
      <c r="J217" s="2" t="s">
        <v>19</v>
      </c>
      <c r="K217" s="3"/>
      <c r="L217" s="2"/>
      <c r="M217" s="3"/>
    </row>
    <row r="218" customFormat="false" ht="15" hidden="false" customHeight="false" outlineLevel="0" collapsed="false">
      <c r="A218" s="2" t="n">
        <v>9</v>
      </c>
      <c r="B218" s="3" t="s">
        <v>254</v>
      </c>
      <c r="C218" s="3" t="s">
        <v>271</v>
      </c>
      <c r="D218" s="2" t="n">
        <v>217</v>
      </c>
      <c r="E218" s="2"/>
      <c r="F218" s="4" t="s">
        <v>274</v>
      </c>
      <c r="G218" s="8" t="s">
        <v>62</v>
      </c>
      <c r="H218" s="6" t="s">
        <v>17</v>
      </c>
      <c r="I218" s="7" t="s">
        <v>18</v>
      </c>
      <c r="J218" s="2" t="s">
        <v>19</v>
      </c>
      <c r="K218" s="3"/>
      <c r="L218" s="2"/>
      <c r="M218" s="3"/>
    </row>
    <row r="219" customFormat="false" ht="15" hidden="false" customHeight="false" outlineLevel="0" collapsed="false">
      <c r="A219" s="2" t="n">
        <v>9</v>
      </c>
      <c r="B219" s="3" t="s">
        <v>254</v>
      </c>
      <c r="C219" s="3" t="s">
        <v>271</v>
      </c>
      <c r="D219" s="2" t="n">
        <v>218</v>
      </c>
      <c r="E219" s="2"/>
      <c r="F219" s="4" t="s">
        <v>275</v>
      </c>
      <c r="G219" s="8" t="s">
        <v>62</v>
      </c>
      <c r="H219" s="6" t="s">
        <v>17</v>
      </c>
      <c r="I219" s="7" t="s">
        <v>18</v>
      </c>
      <c r="J219" s="2" t="s">
        <v>19</v>
      </c>
      <c r="K219" s="3"/>
      <c r="L219" s="2"/>
      <c r="M219" s="3"/>
    </row>
    <row r="220" customFormat="false" ht="15" hidden="false" customHeight="false" outlineLevel="0" collapsed="false">
      <c r="A220" s="2" t="n">
        <v>9</v>
      </c>
      <c r="B220" s="3" t="s">
        <v>254</v>
      </c>
      <c r="C220" s="3" t="s">
        <v>271</v>
      </c>
      <c r="D220" s="2" t="n">
        <v>219</v>
      </c>
      <c r="E220" s="2"/>
      <c r="F220" s="4" t="s">
        <v>276</v>
      </c>
      <c r="G220" s="9" t="s">
        <v>100</v>
      </c>
      <c r="H220" s="6" t="s">
        <v>17</v>
      </c>
      <c r="I220" s="7" t="s">
        <v>18</v>
      </c>
      <c r="J220" s="2" t="s">
        <v>19</v>
      </c>
      <c r="K220" s="3"/>
      <c r="L220" s="2"/>
      <c r="M220" s="3"/>
    </row>
    <row r="221" customFormat="false" ht="15" hidden="false" customHeight="false" outlineLevel="0" collapsed="false">
      <c r="A221" s="2" t="n">
        <v>9</v>
      </c>
      <c r="B221" s="3" t="s">
        <v>254</v>
      </c>
      <c r="C221" s="3" t="s">
        <v>271</v>
      </c>
      <c r="D221" s="2" t="n">
        <v>220</v>
      </c>
      <c r="E221" s="2"/>
      <c r="F221" s="4" t="s">
        <v>277</v>
      </c>
      <c r="G221" s="8" t="s">
        <v>62</v>
      </c>
      <c r="H221" s="6" t="s">
        <v>17</v>
      </c>
      <c r="I221" s="7" t="s">
        <v>18</v>
      </c>
      <c r="J221" s="2" t="s">
        <v>19</v>
      </c>
      <c r="K221" s="3"/>
      <c r="L221" s="2"/>
      <c r="M221" s="3"/>
    </row>
    <row r="222" customFormat="false" ht="15" hidden="false" customHeight="false" outlineLevel="0" collapsed="false">
      <c r="A222" s="2" t="n">
        <v>9</v>
      </c>
      <c r="B222" s="3" t="s">
        <v>254</v>
      </c>
      <c r="C222" s="3" t="s">
        <v>271</v>
      </c>
      <c r="D222" s="2" t="n">
        <v>221</v>
      </c>
      <c r="E222" s="2"/>
      <c r="F222" s="4" t="s">
        <v>278</v>
      </c>
      <c r="G222" s="8" t="s">
        <v>62</v>
      </c>
      <c r="H222" s="6" t="s">
        <v>17</v>
      </c>
      <c r="I222" s="7" t="s">
        <v>18</v>
      </c>
      <c r="J222" s="2" t="s">
        <v>19</v>
      </c>
      <c r="K222" s="3"/>
      <c r="L222" s="2"/>
      <c r="M222" s="3"/>
    </row>
    <row r="223" customFormat="false" ht="15" hidden="false" customHeight="false" outlineLevel="0" collapsed="false">
      <c r="A223" s="2" t="n">
        <v>9</v>
      </c>
      <c r="B223" s="3" t="s">
        <v>254</v>
      </c>
      <c r="C223" s="3" t="s">
        <v>271</v>
      </c>
      <c r="D223" s="2" t="n">
        <v>222</v>
      </c>
      <c r="E223" s="2"/>
      <c r="F223" s="4" t="s">
        <v>279</v>
      </c>
      <c r="G223" s="8" t="s">
        <v>62</v>
      </c>
      <c r="H223" s="6" t="s">
        <v>17</v>
      </c>
      <c r="I223" s="7" t="s">
        <v>18</v>
      </c>
      <c r="J223" s="2" t="s">
        <v>19</v>
      </c>
      <c r="K223" s="3"/>
      <c r="L223" s="2"/>
      <c r="M223" s="3"/>
    </row>
    <row r="224" customFormat="false" ht="15" hidden="false" customHeight="false" outlineLevel="0" collapsed="false">
      <c r="A224" s="2" t="n">
        <v>9</v>
      </c>
      <c r="B224" s="3" t="s">
        <v>254</v>
      </c>
      <c r="C224" s="3" t="s">
        <v>271</v>
      </c>
      <c r="D224" s="2" t="n">
        <v>223</v>
      </c>
      <c r="E224" s="2"/>
      <c r="F224" s="4" t="s">
        <v>280</v>
      </c>
      <c r="G224" s="8" t="s">
        <v>62</v>
      </c>
      <c r="H224" s="6" t="s">
        <v>17</v>
      </c>
      <c r="I224" s="7" t="s">
        <v>18</v>
      </c>
      <c r="J224" s="2" t="s">
        <v>19</v>
      </c>
      <c r="K224" s="3"/>
      <c r="L224" s="2"/>
      <c r="M224" s="3"/>
    </row>
    <row r="225" customFormat="false" ht="15" hidden="false" customHeight="false" outlineLevel="0" collapsed="false">
      <c r="A225" s="2" t="n">
        <v>9</v>
      </c>
      <c r="B225" s="3" t="s">
        <v>254</v>
      </c>
      <c r="C225" s="3" t="s">
        <v>271</v>
      </c>
      <c r="D225" s="2" t="n">
        <v>224</v>
      </c>
      <c r="E225" s="2"/>
      <c r="F225" s="4" t="s">
        <v>281</v>
      </c>
      <c r="G225" s="9" t="s">
        <v>100</v>
      </c>
      <c r="H225" s="6" t="s">
        <v>17</v>
      </c>
      <c r="I225" s="7" t="s">
        <v>18</v>
      </c>
      <c r="J225" s="2" t="s">
        <v>19</v>
      </c>
      <c r="K225" s="3"/>
      <c r="L225" s="2"/>
      <c r="M225" s="3"/>
    </row>
    <row r="226" customFormat="false" ht="15" hidden="false" customHeight="false" outlineLevel="0" collapsed="false">
      <c r="A226" s="2" t="n">
        <v>9</v>
      </c>
      <c r="B226" s="3" t="s">
        <v>254</v>
      </c>
      <c r="C226" s="3" t="s">
        <v>271</v>
      </c>
      <c r="D226" s="2" t="n">
        <v>225</v>
      </c>
      <c r="E226" s="2"/>
      <c r="F226" s="4" t="s">
        <v>282</v>
      </c>
      <c r="G226" s="9" t="s">
        <v>100</v>
      </c>
      <c r="H226" s="6" t="s">
        <v>17</v>
      </c>
      <c r="I226" s="7" t="s">
        <v>18</v>
      </c>
      <c r="J226" s="2" t="s">
        <v>19</v>
      </c>
      <c r="K226" s="3"/>
      <c r="L226" s="2"/>
      <c r="M226" s="3"/>
    </row>
    <row r="227" customFormat="false" ht="15" hidden="false" customHeight="false" outlineLevel="0" collapsed="false">
      <c r="A227" s="2" t="n">
        <v>9</v>
      </c>
      <c r="B227" s="3" t="s">
        <v>254</v>
      </c>
      <c r="C227" s="3" t="s">
        <v>271</v>
      </c>
      <c r="D227" s="2" t="n">
        <v>226</v>
      </c>
      <c r="E227" s="2"/>
      <c r="F227" s="4" t="s">
        <v>283</v>
      </c>
      <c r="G227" s="9" t="s">
        <v>100</v>
      </c>
      <c r="H227" s="6" t="s">
        <v>17</v>
      </c>
      <c r="I227" s="7" t="s">
        <v>18</v>
      </c>
      <c r="J227" s="2" t="s">
        <v>19</v>
      </c>
      <c r="K227" s="3"/>
      <c r="L227" s="2"/>
      <c r="M227" s="3"/>
    </row>
    <row r="228" customFormat="false" ht="15" hidden="false" customHeight="false" outlineLevel="0" collapsed="false">
      <c r="A228" s="2" t="n">
        <v>9</v>
      </c>
      <c r="B228" s="3" t="s">
        <v>254</v>
      </c>
      <c r="C228" s="3" t="s">
        <v>284</v>
      </c>
      <c r="D228" s="2" t="n">
        <v>227</v>
      </c>
      <c r="E228" s="2"/>
      <c r="F228" s="4" t="s">
        <v>285</v>
      </c>
      <c r="G228" s="8" t="s">
        <v>62</v>
      </c>
      <c r="H228" s="6" t="s">
        <v>17</v>
      </c>
      <c r="I228" s="7" t="s">
        <v>18</v>
      </c>
      <c r="J228" s="2" t="s">
        <v>19</v>
      </c>
      <c r="K228" s="3"/>
      <c r="L228" s="2"/>
      <c r="M228" s="3"/>
    </row>
    <row r="229" customFormat="false" ht="15" hidden="false" customHeight="false" outlineLevel="0" collapsed="false">
      <c r="A229" s="2" t="n">
        <v>9</v>
      </c>
      <c r="B229" s="3" t="s">
        <v>254</v>
      </c>
      <c r="C229" s="3" t="s">
        <v>284</v>
      </c>
      <c r="D229" s="2" t="n">
        <v>228</v>
      </c>
      <c r="E229" s="2"/>
      <c r="F229" s="4" t="s">
        <v>286</v>
      </c>
      <c r="G229" s="9" t="s">
        <v>100</v>
      </c>
      <c r="H229" s="6" t="s">
        <v>17</v>
      </c>
      <c r="I229" s="7" t="s">
        <v>18</v>
      </c>
      <c r="J229" s="2" t="s">
        <v>19</v>
      </c>
      <c r="K229" s="3"/>
      <c r="L229" s="2"/>
      <c r="M229" s="3"/>
    </row>
    <row r="230" customFormat="false" ht="15" hidden="false" customHeight="false" outlineLevel="0" collapsed="false">
      <c r="A230" s="2" t="n">
        <v>9</v>
      </c>
      <c r="B230" s="3" t="s">
        <v>254</v>
      </c>
      <c r="C230" s="3" t="s">
        <v>284</v>
      </c>
      <c r="D230" s="2" t="n">
        <v>229</v>
      </c>
      <c r="E230" s="2"/>
      <c r="F230" s="4" t="s">
        <v>287</v>
      </c>
      <c r="G230" s="8" t="s">
        <v>62</v>
      </c>
      <c r="H230" s="6" t="s">
        <v>17</v>
      </c>
      <c r="I230" s="7" t="s">
        <v>18</v>
      </c>
      <c r="J230" s="2" t="s">
        <v>19</v>
      </c>
      <c r="K230" s="3"/>
      <c r="L230" s="2"/>
      <c r="M230" s="3"/>
    </row>
    <row r="231" customFormat="false" ht="15" hidden="false" customHeight="false" outlineLevel="0" collapsed="false">
      <c r="A231" s="2" t="n">
        <v>9</v>
      </c>
      <c r="B231" s="3" t="s">
        <v>254</v>
      </c>
      <c r="C231" s="3" t="s">
        <v>284</v>
      </c>
      <c r="D231" s="2" t="n">
        <v>230</v>
      </c>
      <c r="E231" s="2"/>
      <c r="F231" s="4" t="s">
        <v>288</v>
      </c>
      <c r="G231" s="8" t="s">
        <v>62</v>
      </c>
      <c r="H231" s="6" t="s">
        <v>17</v>
      </c>
      <c r="I231" s="7" t="s">
        <v>18</v>
      </c>
      <c r="J231" s="2" t="s">
        <v>19</v>
      </c>
      <c r="K231" s="3"/>
      <c r="L231" s="2"/>
      <c r="M231" s="3"/>
    </row>
    <row r="232" customFormat="false" ht="15" hidden="false" customHeight="false" outlineLevel="0" collapsed="false">
      <c r="A232" s="2" t="n">
        <v>9</v>
      </c>
      <c r="B232" s="3" t="s">
        <v>254</v>
      </c>
      <c r="C232" s="3" t="s">
        <v>284</v>
      </c>
      <c r="D232" s="2" t="n">
        <v>231</v>
      </c>
      <c r="E232" s="2"/>
      <c r="F232" s="4" t="s">
        <v>289</v>
      </c>
      <c r="G232" s="9" t="s">
        <v>100</v>
      </c>
      <c r="H232" s="6" t="s">
        <v>17</v>
      </c>
      <c r="I232" s="7" t="s">
        <v>18</v>
      </c>
      <c r="J232" s="2" t="s">
        <v>19</v>
      </c>
      <c r="K232" s="3"/>
      <c r="L232" s="2"/>
      <c r="M232" s="3"/>
    </row>
    <row r="233" customFormat="false" ht="15" hidden="false" customHeight="false" outlineLevel="0" collapsed="false">
      <c r="A233" s="2" t="n">
        <v>10</v>
      </c>
      <c r="B233" s="3" t="s">
        <v>290</v>
      </c>
      <c r="C233" s="3" t="s">
        <v>291</v>
      </c>
      <c r="D233" s="2" t="n">
        <v>232</v>
      </c>
      <c r="E233" s="2"/>
      <c r="F233" s="4" t="s">
        <v>292</v>
      </c>
      <c r="G233" s="8" t="s">
        <v>62</v>
      </c>
      <c r="H233" s="6" t="s">
        <v>17</v>
      </c>
      <c r="I233" s="7" t="s">
        <v>18</v>
      </c>
      <c r="J233" s="2" t="s">
        <v>19</v>
      </c>
      <c r="K233" s="3"/>
      <c r="L233" s="2"/>
      <c r="M233" s="3"/>
    </row>
    <row r="234" customFormat="false" ht="15" hidden="false" customHeight="false" outlineLevel="0" collapsed="false">
      <c r="A234" s="2" t="n">
        <v>10</v>
      </c>
      <c r="B234" s="3" t="s">
        <v>290</v>
      </c>
      <c r="C234" s="3" t="s">
        <v>291</v>
      </c>
      <c r="D234" s="2" t="n">
        <v>233</v>
      </c>
      <c r="E234" s="2"/>
      <c r="F234" s="4" t="s">
        <v>293</v>
      </c>
      <c r="G234" s="8" t="s">
        <v>62</v>
      </c>
      <c r="H234" s="6" t="s">
        <v>17</v>
      </c>
      <c r="I234" s="7" t="s">
        <v>18</v>
      </c>
      <c r="J234" s="2" t="s">
        <v>19</v>
      </c>
      <c r="K234" s="3"/>
      <c r="L234" s="2"/>
      <c r="M234" s="3"/>
    </row>
    <row r="235" customFormat="false" ht="15" hidden="false" customHeight="false" outlineLevel="0" collapsed="false">
      <c r="A235" s="2" t="n">
        <v>10</v>
      </c>
      <c r="B235" s="3" t="s">
        <v>290</v>
      </c>
      <c r="C235" s="3" t="s">
        <v>291</v>
      </c>
      <c r="D235" s="2" t="n">
        <v>234</v>
      </c>
      <c r="E235" s="2"/>
      <c r="F235" s="4" t="s">
        <v>294</v>
      </c>
      <c r="G235" s="8" t="s">
        <v>62</v>
      </c>
      <c r="H235" s="6" t="s">
        <v>17</v>
      </c>
      <c r="I235" s="7" t="s">
        <v>18</v>
      </c>
      <c r="J235" s="2" t="s">
        <v>19</v>
      </c>
      <c r="K235" s="3"/>
      <c r="L235" s="2"/>
      <c r="M235" s="3"/>
    </row>
    <row r="236" customFormat="false" ht="15" hidden="false" customHeight="false" outlineLevel="0" collapsed="false">
      <c r="A236" s="2" t="n">
        <v>10</v>
      </c>
      <c r="B236" s="3" t="s">
        <v>290</v>
      </c>
      <c r="C236" s="3" t="s">
        <v>291</v>
      </c>
      <c r="D236" s="2" t="n">
        <v>235</v>
      </c>
      <c r="E236" s="2"/>
      <c r="F236" s="4" t="s">
        <v>295</v>
      </c>
      <c r="G236" s="8" t="s">
        <v>62</v>
      </c>
      <c r="H236" s="6" t="s">
        <v>17</v>
      </c>
      <c r="I236" s="7" t="s">
        <v>18</v>
      </c>
      <c r="J236" s="2" t="s">
        <v>19</v>
      </c>
      <c r="K236" s="3"/>
      <c r="L236" s="2"/>
      <c r="M236" s="3"/>
    </row>
    <row r="237" customFormat="false" ht="15" hidden="false" customHeight="false" outlineLevel="0" collapsed="false">
      <c r="A237" s="2" t="n">
        <v>10</v>
      </c>
      <c r="B237" s="3" t="s">
        <v>290</v>
      </c>
      <c r="C237" s="3" t="s">
        <v>291</v>
      </c>
      <c r="D237" s="2" t="n">
        <v>236</v>
      </c>
      <c r="E237" s="2"/>
      <c r="F237" s="4" t="s">
        <v>296</v>
      </c>
      <c r="G237" s="8" t="s">
        <v>62</v>
      </c>
      <c r="H237" s="6" t="s">
        <v>17</v>
      </c>
      <c r="I237" s="7" t="s">
        <v>18</v>
      </c>
      <c r="J237" s="2" t="s">
        <v>19</v>
      </c>
      <c r="K237" s="3"/>
      <c r="L237" s="2"/>
      <c r="M237" s="3"/>
    </row>
    <row r="238" customFormat="false" ht="15" hidden="false" customHeight="false" outlineLevel="0" collapsed="false">
      <c r="A238" s="2" t="n">
        <v>10</v>
      </c>
      <c r="B238" s="3" t="s">
        <v>290</v>
      </c>
      <c r="C238" s="3" t="s">
        <v>291</v>
      </c>
      <c r="D238" s="2" t="n">
        <v>237</v>
      </c>
      <c r="E238" s="2"/>
      <c r="F238" s="4" t="s">
        <v>297</v>
      </c>
      <c r="G238" s="8" t="s">
        <v>62</v>
      </c>
      <c r="H238" s="6" t="s">
        <v>17</v>
      </c>
      <c r="I238" s="7" t="s">
        <v>18</v>
      </c>
      <c r="J238" s="2" t="s">
        <v>19</v>
      </c>
      <c r="K238" s="3"/>
      <c r="L238" s="2"/>
      <c r="M238" s="3"/>
    </row>
    <row r="239" customFormat="false" ht="15" hidden="false" customHeight="false" outlineLevel="0" collapsed="false">
      <c r="A239" s="2" t="n">
        <v>10</v>
      </c>
      <c r="B239" s="3" t="s">
        <v>290</v>
      </c>
      <c r="C239" s="3" t="s">
        <v>291</v>
      </c>
      <c r="D239" s="2" t="n">
        <v>238</v>
      </c>
      <c r="E239" s="2"/>
      <c r="F239" s="4" t="s">
        <v>298</v>
      </c>
      <c r="G239" s="8" t="s">
        <v>62</v>
      </c>
      <c r="H239" s="6" t="s">
        <v>17</v>
      </c>
      <c r="I239" s="7" t="s">
        <v>18</v>
      </c>
      <c r="J239" s="2" t="s">
        <v>19</v>
      </c>
      <c r="K239" s="3"/>
      <c r="L239" s="2"/>
      <c r="M239" s="3"/>
    </row>
    <row r="240" customFormat="false" ht="15" hidden="false" customHeight="false" outlineLevel="0" collapsed="false">
      <c r="A240" s="2" t="n">
        <v>10</v>
      </c>
      <c r="B240" s="3" t="s">
        <v>290</v>
      </c>
      <c r="C240" s="3" t="s">
        <v>291</v>
      </c>
      <c r="D240" s="2" t="n">
        <v>239</v>
      </c>
      <c r="E240" s="2"/>
      <c r="F240" s="4" t="s">
        <v>299</v>
      </c>
      <c r="G240" s="8" t="s">
        <v>62</v>
      </c>
      <c r="H240" s="6" t="s">
        <v>17</v>
      </c>
      <c r="I240" s="7" t="s">
        <v>18</v>
      </c>
      <c r="J240" s="2" t="s">
        <v>19</v>
      </c>
      <c r="K240" s="3"/>
      <c r="L240" s="2"/>
      <c r="M240" s="3"/>
    </row>
    <row r="241" customFormat="false" ht="15" hidden="false" customHeight="false" outlineLevel="0" collapsed="false">
      <c r="A241" s="2" t="n">
        <v>10</v>
      </c>
      <c r="B241" s="3" t="s">
        <v>290</v>
      </c>
      <c r="C241" s="3" t="s">
        <v>291</v>
      </c>
      <c r="D241" s="2" t="n">
        <v>240</v>
      </c>
      <c r="E241" s="2"/>
      <c r="F241" s="4" t="s">
        <v>300</v>
      </c>
      <c r="G241" s="8" t="s">
        <v>62</v>
      </c>
      <c r="H241" s="6" t="s">
        <v>17</v>
      </c>
      <c r="I241" s="7" t="s">
        <v>18</v>
      </c>
      <c r="J241" s="2" t="s">
        <v>19</v>
      </c>
      <c r="K241" s="3"/>
      <c r="L241" s="2"/>
      <c r="M241" s="3"/>
    </row>
    <row r="242" customFormat="false" ht="15" hidden="false" customHeight="false" outlineLevel="0" collapsed="false">
      <c r="A242" s="2" t="n">
        <v>10</v>
      </c>
      <c r="B242" s="3" t="s">
        <v>290</v>
      </c>
      <c r="C242" s="3" t="s">
        <v>291</v>
      </c>
      <c r="D242" s="2" t="n">
        <v>241</v>
      </c>
      <c r="E242" s="2"/>
      <c r="F242" s="4" t="s">
        <v>301</v>
      </c>
      <c r="G242" s="9" t="s">
        <v>100</v>
      </c>
      <c r="H242" s="6" t="s">
        <v>17</v>
      </c>
      <c r="I242" s="7" t="s">
        <v>18</v>
      </c>
      <c r="J242" s="2" t="s">
        <v>19</v>
      </c>
      <c r="K242" s="3"/>
      <c r="L242" s="2"/>
      <c r="M242" s="3"/>
    </row>
    <row r="243" customFormat="false" ht="15" hidden="false" customHeight="false" outlineLevel="0" collapsed="false">
      <c r="A243" s="2" t="n">
        <v>10</v>
      </c>
      <c r="B243" s="3" t="s">
        <v>290</v>
      </c>
      <c r="C243" s="3" t="s">
        <v>291</v>
      </c>
      <c r="D243" s="2" t="n">
        <v>242</v>
      </c>
      <c r="E243" s="2"/>
      <c r="F243" s="4" t="s">
        <v>302</v>
      </c>
      <c r="G243" s="9" t="s">
        <v>100</v>
      </c>
      <c r="H243" s="6" t="s">
        <v>17</v>
      </c>
      <c r="I243" s="7" t="s">
        <v>18</v>
      </c>
      <c r="J243" s="2" t="s">
        <v>19</v>
      </c>
      <c r="K243" s="3"/>
      <c r="L243" s="2"/>
      <c r="M243" s="3"/>
    </row>
    <row r="244" customFormat="false" ht="15" hidden="false" customHeight="false" outlineLevel="0" collapsed="false">
      <c r="A244" s="2" t="n">
        <v>10</v>
      </c>
      <c r="B244" s="3" t="s">
        <v>290</v>
      </c>
      <c r="C244" s="3" t="s">
        <v>291</v>
      </c>
      <c r="D244" s="2" t="n">
        <v>243</v>
      </c>
      <c r="E244" s="2"/>
      <c r="F244" s="4" t="s">
        <v>303</v>
      </c>
      <c r="G244" s="9" t="s">
        <v>100</v>
      </c>
      <c r="H244" s="6" t="s">
        <v>17</v>
      </c>
      <c r="I244" s="7" t="s">
        <v>18</v>
      </c>
      <c r="J244" s="2" t="s">
        <v>19</v>
      </c>
      <c r="K244" s="3"/>
      <c r="L244" s="2"/>
      <c r="M244" s="3"/>
    </row>
    <row r="245" customFormat="false" ht="15" hidden="false" customHeight="false" outlineLevel="0" collapsed="false">
      <c r="A245" s="2" t="n">
        <v>11</v>
      </c>
      <c r="B245" s="3" t="s">
        <v>304</v>
      </c>
      <c r="C245" s="3" t="s">
        <v>305</v>
      </c>
      <c r="D245" s="2" t="n">
        <v>244</v>
      </c>
      <c r="E245" s="2"/>
      <c r="F245" s="4" t="s">
        <v>306</v>
      </c>
      <c r="G245" s="5" t="s">
        <v>16</v>
      </c>
      <c r="H245" s="6" t="s">
        <v>17</v>
      </c>
      <c r="I245" s="7" t="s">
        <v>18</v>
      </c>
      <c r="J245" s="2" t="s">
        <v>19</v>
      </c>
      <c r="K245" s="3"/>
      <c r="L245" s="2"/>
      <c r="M245" s="3"/>
    </row>
    <row r="246" customFormat="false" ht="15" hidden="false" customHeight="false" outlineLevel="0" collapsed="false">
      <c r="A246" s="2" t="n">
        <v>11</v>
      </c>
      <c r="B246" s="3" t="s">
        <v>304</v>
      </c>
      <c r="C246" s="3" t="s">
        <v>305</v>
      </c>
      <c r="D246" s="2" t="n">
        <v>245</v>
      </c>
      <c r="E246" s="2"/>
      <c r="F246" s="4" t="s">
        <v>307</v>
      </c>
      <c r="G246" s="8" t="s">
        <v>62</v>
      </c>
      <c r="H246" s="6" t="s">
        <v>17</v>
      </c>
      <c r="I246" s="7" t="s">
        <v>18</v>
      </c>
      <c r="J246" s="2" t="s">
        <v>19</v>
      </c>
      <c r="K246" s="3"/>
      <c r="L246" s="2"/>
      <c r="M246" s="3"/>
    </row>
    <row r="247" customFormat="false" ht="15" hidden="false" customHeight="false" outlineLevel="0" collapsed="false">
      <c r="A247" s="2" t="n">
        <v>11</v>
      </c>
      <c r="B247" s="3" t="s">
        <v>304</v>
      </c>
      <c r="C247" s="3" t="s">
        <v>305</v>
      </c>
      <c r="D247" s="2" t="n">
        <v>246</v>
      </c>
      <c r="E247" s="2"/>
      <c r="F247" s="4" t="s">
        <v>308</v>
      </c>
      <c r="G247" s="5" t="s">
        <v>16</v>
      </c>
      <c r="H247" s="6" t="s">
        <v>17</v>
      </c>
      <c r="I247" s="7" t="s">
        <v>18</v>
      </c>
      <c r="J247" s="2" t="s">
        <v>19</v>
      </c>
      <c r="K247" s="3"/>
      <c r="L247" s="2"/>
      <c r="M247" s="3"/>
    </row>
    <row r="248" customFormat="false" ht="15" hidden="false" customHeight="false" outlineLevel="0" collapsed="false">
      <c r="A248" s="2" t="n">
        <v>11</v>
      </c>
      <c r="B248" s="3" t="s">
        <v>304</v>
      </c>
      <c r="C248" s="3" t="s">
        <v>309</v>
      </c>
      <c r="D248" s="2" t="n">
        <v>247</v>
      </c>
      <c r="E248" s="2"/>
      <c r="F248" s="4" t="s">
        <v>310</v>
      </c>
      <c r="G248" s="8" t="s">
        <v>62</v>
      </c>
      <c r="H248" s="6" t="s">
        <v>17</v>
      </c>
      <c r="I248" s="7" t="s">
        <v>18</v>
      </c>
      <c r="J248" s="2" t="s">
        <v>19</v>
      </c>
      <c r="K248" s="3"/>
      <c r="L248" s="2"/>
      <c r="M248" s="3"/>
    </row>
    <row r="249" customFormat="false" ht="15" hidden="false" customHeight="false" outlineLevel="0" collapsed="false">
      <c r="A249" s="2" t="n">
        <v>11</v>
      </c>
      <c r="B249" s="3" t="s">
        <v>304</v>
      </c>
      <c r="C249" s="3" t="s">
        <v>309</v>
      </c>
      <c r="D249" s="2" t="n">
        <v>248</v>
      </c>
      <c r="E249" s="2"/>
      <c r="F249" s="4" t="s">
        <v>311</v>
      </c>
      <c r="G249" s="8" t="s">
        <v>62</v>
      </c>
      <c r="H249" s="6" t="s">
        <v>17</v>
      </c>
      <c r="I249" s="7" t="s">
        <v>18</v>
      </c>
      <c r="J249" s="2" t="s">
        <v>19</v>
      </c>
      <c r="K249" s="3"/>
      <c r="L249" s="2"/>
      <c r="M249" s="3"/>
    </row>
    <row r="250" customFormat="false" ht="15" hidden="false" customHeight="false" outlineLevel="0" collapsed="false">
      <c r="A250" s="2" t="n">
        <v>11</v>
      </c>
      <c r="B250" s="3" t="s">
        <v>304</v>
      </c>
      <c r="C250" s="3" t="s">
        <v>309</v>
      </c>
      <c r="D250" s="2" t="n">
        <v>249</v>
      </c>
      <c r="E250" s="2"/>
      <c r="F250" s="4" t="s">
        <v>312</v>
      </c>
      <c r="G250" s="8" t="s">
        <v>62</v>
      </c>
      <c r="H250" s="6" t="s">
        <v>17</v>
      </c>
      <c r="I250" s="7" t="s">
        <v>18</v>
      </c>
      <c r="J250" s="2" t="s">
        <v>19</v>
      </c>
      <c r="K250" s="3"/>
      <c r="L250" s="2"/>
      <c r="M250" s="3"/>
    </row>
    <row r="251" customFormat="false" ht="15" hidden="false" customHeight="false" outlineLevel="0" collapsed="false">
      <c r="A251" s="2" t="n">
        <v>11</v>
      </c>
      <c r="B251" s="3" t="s">
        <v>304</v>
      </c>
      <c r="C251" s="3" t="s">
        <v>309</v>
      </c>
      <c r="D251" s="2" t="n">
        <v>250</v>
      </c>
      <c r="E251" s="2"/>
      <c r="F251" s="4" t="s">
        <v>313</v>
      </c>
      <c r="G251" s="8" t="s">
        <v>62</v>
      </c>
      <c r="H251" s="6" t="s">
        <v>17</v>
      </c>
      <c r="I251" s="7" t="s">
        <v>18</v>
      </c>
      <c r="J251" s="2" t="s">
        <v>19</v>
      </c>
      <c r="K251" s="3"/>
      <c r="L251" s="2"/>
      <c r="M251" s="3"/>
    </row>
    <row r="252" customFormat="false" ht="15" hidden="false" customHeight="false" outlineLevel="0" collapsed="false">
      <c r="A252" s="2" t="n">
        <v>11</v>
      </c>
      <c r="B252" s="3" t="s">
        <v>304</v>
      </c>
      <c r="C252" s="3" t="s">
        <v>309</v>
      </c>
      <c r="D252" s="2" t="n">
        <v>251</v>
      </c>
      <c r="E252" s="2"/>
      <c r="F252" s="4" t="s">
        <v>314</v>
      </c>
      <c r="G252" s="9" t="s">
        <v>100</v>
      </c>
      <c r="H252" s="6" t="s">
        <v>17</v>
      </c>
      <c r="I252" s="7" t="s">
        <v>18</v>
      </c>
      <c r="J252" s="2" t="s">
        <v>19</v>
      </c>
      <c r="K252" s="3"/>
      <c r="L252" s="2"/>
      <c r="M252" s="3"/>
    </row>
    <row r="253" customFormat="false" ht="15" hidden="false" customHeight="false" outlineLevel="0" collapsed="false">
      <c r="A253" s="2" t="n">
        <v>11</v>
      </c>
      <c r="B253" s="3" t="s">
        <v>304</v>
      </c>
      <c r="C253" s="3" t="s">
        <v>309</v>
      </c>
      <c r="D253" s="2" t="n">
        <v>252</v>
      </c>
      <c r="E253" s="2"/>
      <c r="F253" s="4" t="s">
        <v>315</v>
      </c>
      <c r="G253" s="8" t="s">
        <v>62</v>
      </c>
      <c r="H253" s="6" t="s">
        <v>17</v>
      </c>
      <c r="I253" s="7" t="s">
        <v>18</v>
      </c>
      <c r="J253" s="2" t="s">
        <v>19</v>
      </c>
      <c r="K253" s="3"/>
      <c r="L253" s="2"/>
      <c r="M253" s="3"/>
    </row>
    <row r="254" customFormat="false" ht="15" hidden="false" customHeight="false" outlineLevel="0" collapsed="false">
      <c r="A254" s="2" t="n">
        <v>11</v>
      </c>
      <c r="B254" s="3" t="s">
        <v>304</v>
      </c>
      <c r="C254" s="3" t="s">
        <v>309</v>
      </c>
      <c r="D254" s="2" t="n">
        <v>253</v>
      </c>
      <c r="E254" s="2"/>
      <c r="F254" s="4" t="s">
        <v>316</v>
      </c>
      <c r="G254" s="8" t="s">
        <v>62</v>
      </c>
      <c r="H254" s="6" t="s">
        <v>17</v>
      </c>
      <c r="I254" s="7" t="s">
        <v>18</v>
      </c>
      <c r="J254" s="2" t="s">
        <v>19</v>
      </c>
      <c r="K254" s="3"/>
      <c r="L254" s="2"/>
      <c r="M254" s="3"/>
    </row>
    <row r="255" customFormat="false" ht="15" hidden="false" customHeight="false" outlineLevel="0" collapsed="false">
      <c r="A255" s="2" t="n">
        <v>11</v>
      </c>
      <c r="B255" s="3" t="s">
        <v>304</v>
      </c>
      <c r="C255" s="3" t="s">
        <v>309</v>
      </c>
      <c r="D255" s="2" t="n">
        <v>254</v>
      </c>
      <c r="E255" s="2"/>
      <c r="F255" s="4" t="s">
        <v>317</v>
      </c>
      <c r="G255" s="8" t="s">
        <v>62</v>
      </c>
      <c r="H255" s="6" t="s">
        <v>17</v>
      </c>
      <c r="I255" s="7" t="s">
        <v>18</v>
      </c>
      <c r="J255" s="2" t="s">
        <v>19</v>
      </c>
      <c r="K255" s="3"/>
      <c r="L255" s="2"/>
      <c r="M255" s="3"/>
    </row>
    <row r="256" customFormat="false" ht="15" hidden="false" customHeight="false" outlineLevel="0" collapsed="false">
      <c r="A256" s="2" t="n">
        <v>11</v>
      </c>
      <c r="B256" s="3" t="s">
        <v>304</v>
      </c>
      <c r="C256" s="3" t="s">
        <v>318</v>
      </c>
      <c r="D256" s="2" t="n">
        <v>255</v>
      </c>
      <c r="E256" s="2"/>
      <c r="F256" s="4" t="s">
        <v>319</v>
      </c>
      <c r="G256" s="8" t="s">
        <v>62</v>
      </c>
      <c r="H256" s="6" t="s">
        <v>17</v>
      </c>
      <c r="I256" s="7" t="s">
        <v>18</v>
      </c>
      <c r="J256" s="2" t="s">
        <v>19</v>
      </c>
      <c r="K256" s="3"/>
      <c r="L256" s="2"/>
      <c r="M256" s="3"/>
    </row>
    <row r="257" customFormat="false" ht="15" hidden="false" customHeight="false" outlineLevel="0" collapsed="false">
      <c r="A257" s="2" t="n">
        <v>11</v>
      </c>
      <c r="B257" s="3" t="s">
        <v>304</v>
      </c>
      <c r="C257" s="3" t="s">
        <v>318</v>
      </c>
      <c r="D257" s="2" t="n">
        <v>256</v>
      </c>
      <c r="E257" s="2"/>
      <c r="F257" s="4" t="s">
        <v>320</v>
      </c>
      <c r="G257" s="8" t="s">
        <v>62</v>
      </c>
      <c r="H257" s="6" t="s">
        <v>17</v>
      </c>
      <c r="I257" s="7" t="s">
        <v>18</v>
      </c>
      <c r="J257" s="2" t="s">
        <v>19</v>
      </c>
      <c r="K257" s="3"/>
      <c r="L257" s="2"/>
      <c r="M257" s="3"/>
    </row>
    <row r="258" customFormat="false" ht="15" hidden="false" customHeight="false" outlineLevel="0" collapsed="false">
      <c r="A258" s="2" t="n">
        <v>11</v>
      </c>
      <c r="B258" s="3" t="s">
        <v>304</v>
      </c>
      <c r="C258" s="3" t="s">
        <v>318</v>
      </c>
      <c r="D258" s="2" t="n">
        <v>257</v>
      </c>
      <c r="E258" s="2"/>
      <c r="F258" s="4" t="s">
        <v>321</v>
      </c>
      <c r="G258" s="5" t="s">
        <v>16</v>
      </c>
      <c r="H258" s="6" t="s">
        <v>17</v>
      </c>
      <c r="I258" s="7" t="s">
        <v>18</v>
      </c>
      <c r="J258" s="2" t="s">
        <v>19</v>
      </c>
      <c r="K258" s="3"/>
      <c r="L258" s="2"/>
      <c r="M258" s="3"/>
    </row>
    <row r="259" customFormat="false" ht="15" hidden="false" customHeight="false" outlineLevel="0" collapsed="false">
      <c r="A259" s="2" t="n">
        <v>11</v>
      </c>
      <c r="B259" s="3" t="s">
        <v>304</v>
      </c>
      <c r="C259" s="3" t="s">
        <v>318</v>
      </c>
      <c r="D259" s="2" t="n">
        <v>258</v>
      </c>
      <c r="E259" s="2"/>
      <c r="F259" s="4" t="s">
        <v>322</v>
      </c>
      <c r="G259" s="9" t="s">
        <v>100</v>
      </c>
      <c r="H259" s="6" t="s">
        <v>17</v>
      </c>
      <c r="I259" s="7" t="s">
        <v>18</v>
      </c>
      <c r="J259" s="2" t="s">
        <v>19</v>
      </c>
      <c r="K259" s="3"/>
      <c r="L259" s="2"/>
      <c r="M259" s="3"/>
    </row>
    <row r="260" customFormat="false" ht="15" hidden="false" customHeight="false" outlineLevel="0" collapsed="false">
      <c r="A260" s="2" t="n">
        <v>11</v>
      </c>
      <c r="B260" s="3" t="s">
        <v>304</v>
      </c>
      <c r="C260" s="3" t="s">
        <v>318</v>
      </c>
      <c r="D260" s="2" t="n">
        <v>259</v>
      </c>
      <c r="E260" s="2"/>
      <c r="F260" s="4" t="s">
        <v>323</v>
      </c>
      <c r="G260" s="9" t="s">
        <v>100</v>
      </c>
      <c r="H260" s="6" t="s">
        <v>17</v>
      </c>
      <c r="I260" s="7" t="s">
        <v>18</v>
      </c>
      <c r="J260" s="2" t="s">
        <v>19</v>
      </c>
      <c r="K260" s="3"/>
      <c r="L260" s="2"/>
      <c r="M260" s="3"/>
    </row>
    <row r="261" customFormat="false" ht="15" hidden="false" customHeight="false" outlineLevel="0" collapsed="false">
      <c r="A261" s="2" t="n">
        <v>11</v>
      </c>
      <c r="B261" s="3" t="s">
        <v>304</v>
      </c>
      <c r="C261" s="3" t="s">
        <v>318</v>
      </c>
      <c r="D261" s="2" t="n">
        <v>260</v>
      </c>
      <c r="E261" s="2"/>
      <c r="F261" s="4" t="s">
        <v>324</v>
      </c>
      <c r="G261" s="8" t="s">
        <v>62</v>
      </c>
      <c r="H261" s="6" t="s">
        <v>17</v>
      </c>
      <c r="I261" s="7" t="s">
        <v>18</v>
      </c>
      <c r="J261" s="2" t="s">
        <v>19</v>
      </c>
      <c r="K261" s="3"/>
      <c r="L261" s="2"/>
      <c r="M261" s="3"/>
    </row>
    <row r="262" customFormat="false" ht="15" hidden="false" customHeight="false" outlineLevel="0" collapsed="false">
      <c r="A262" s="2" t="n">
        <v>12</v>
      </c>
      <c r="B262" s="3" t="s">
        <v>325</v>
      </c>
      <c r="C262" s="3" t="s">
        <v>326</v>
      </c>
      <c r="D262" s="2" t="n">
        <v>261</v>
      </c>
      <c r="E262" s="2"/>
      <c r="F262" s="4" t="s">
        <v>327</v>
      </c>
      <c r="G262" s="5" t="s">
        <v>16</v>
      </c>
      <c r="H262" s="6" t="s">
        <v>17</v>
      </c>
      <c r="I262" s="7" t="s">
        <v>18</v>
      </c>
      <c r="J262" s="2" t="s">
        <v>19</v>
      </c>
      <c r="K262" s="3"/>
      <c r="L262" s="2"/>
      <c r="M262" s="3"/>
    </row>
    <row r="263" customFormat="false" ht="15" hidden="false" customHeight="false" outlineLevel="0" collapsed="false">
      <c r="A263" s="2" t="n">
        <v>12</v>
      </c>
      <c r="B263" s="3" t="s">
        <v>325</v>
      </c>
      <c r="C263" s="3" t="s">
        <v>326</v>
      </c>
      <c r="D263" s="2" t="n">
        <v>262</v>
      </c>
      <c r="E263" s="2"/>
      <c r="F263" s="4" t="s">
        <v>328</v>
      </c>
      <c r="G263" s="8" t="s">
        <v>62</v>
      </c>
      <c r="H263" s="6" t="s">
        <v>17</v>
      </c>
      <c r="I263" s="7" t="s">
        <v>18</v>
      </c>
      <c r="J263" s="2" t="s">
        <v>19</v>
      </c>
      <c r="K263" s="3"/>
      <c r="L263" s="2"/>
      <c r="M263" s="3"/>
    </row>
    <row r="264" customFormat="false" ht="15" hidden="false" customHeight="false" outlineLevel="0" collapsed="false">
      <c r="A264" s="2" t="n">
        <v>12</v>
      </c>
      <c r="B264" s="3" t="s">
        <v>325</v>
      </c>
      <c r="C264" s="3" t="s">
        <v>326</v>
      </c>
      <c r="D264" s="2" t="n">
        <v>263</v>
      </c>
      <c r="E264" s="2"/>
      <c r="F264" s="4" t="s">
        <v>329</v>
      </c>
      <c r="G264" s="8" t="s">
        <v>62</v>
      </c>
      <c r="H264" s="6" t="s">
        <v>17</v>
      </c>
      <c r="I264" s="7" t="s">
        <v>18</v>
      </c>
      <c r="J264" s="2" t="s">
        <v>19</v>
      </c>
      <c r="K264" s="3"/>
      <c r="L264" s="2"/>
      <c r="M264" s="3"/>
    </row>
    <row r="265" customFormat="false" ht="15" hidden="false" customHeight="false" outlineLevel="0" collapsed="false">
      <c r="A265" s="2" t="n">
        <v>12</v>
      </c>
      <c r="B265" s="3" t="s">
        <v>325</v>
      </c>
      <c r="C265" s="3" t="s">
        <v>326</v>
      </c>
      <c r="D265" s="2" t="n">
        <v>264</v>
      </c>
      <c r="E265" s="2"/>
      <c r="F265" s="4" t="s">
        <v>330</v>
      </c>
      <c r="G265" s="5" t="s">
        <v>16</v>
      </c>
      <c r="H265" s="6" t="s">
        <v>17</v>
      </c>
      <c r="I265" s="7" t="s">
        <v>18</v>
      </c>
      <c r="J265" s="2" t="s">
        <v>19</v>
      </c>
      <c r="K265" s="3"/>
      <c r="L265" s="2"/>
      <c r="M265" s="3"/>
    </row>
    <row r="266" customFormat="false" ht="15" hidden="false" customHeight="false" outlineLevel="0" collapsed="false">
      <c r="A266" s="2" t="n">
        <v>12</v>
      </c>
      <c r="B266" s="3" t="s">
        <v>325</v>
      </c>
      <c r="C266" s="3" t="s">
        <v>326</v>
      </c>
      <c r="D266" s="2" t="n">
        <v>265</v>
      </c>
      <c r="E266" s="2"/>
      <c r="F266" s="4" t="s">
        <v>331</v>
      </c>
      <c r="G266" s="8" t="s">
        <v>62</v>
      </c>
      <c r="H266" s="6" t="s">
        <v>17</v>
      </c>
      <c r="I266" s="7" t="s">
        <v>18</v>
      </c>
      <c r="J266" s="2" t="s">
        <v>19</v>
      </c>
      <c r="K266" s="3"/>
      <c r="L266" s="2"/>
      <c r="M266" s="3"/>
    </row>
    <row r="267" customFormat="false" ht="15" hidden="false" customHeight="false" outlineLevel="0" collapsed="false">
      <c r="A267" s="2" t="n">
        <v>12</v>
      </c>
      <c r="B267" s="3" t="s">
        <v>325</v>
      </c>
      <c r="C267" s="3" t="s">
        <v>332</v>
      </c>
      <c r="D267" s="2" t="n">
        <v>266</v>
      </c>
      <c r="E267" s="2"/>
      <c r="F267" s="4" t="s">
        <v>333</v>
      </c>
      <c r="G267" s="8" t="s">
        <v>62</v>
      </c>
      <c r="H267" s="6" t="s">
        <v>17</v>
      </c>
      <c r="I267" s="7" t="s">
        <v>18</v>
      </c>
      <c r="J267" s="2" t="s">
        <v>19</v>
      </c>
      <c r="K267" s="3"/>
      <c r="L267" s="2"/>
      <c r="M267" s="3"/>
    </row>
    <row r="268" customFormat="false" ht="15" hidden="false" customHeight="false" outlineLevel="0" collapsed="false">
      <c r="A268" s="2" t="n">
        <v>12</v>
      </c>
      <c r="B268" s="3" t="s">
        <v>325</v>
      </c>
      <c r="C268" s="3" t="s">
        <v>332</v>
      </c>
      <c r="D268" s="2" t="n">
        <v>267</v>
      </c>
      <c r="E268" s="2"/>
      <c r="F268" s="4" t="s">
        <v>334</v>
      </c>
      <c r="G268" s="8" t="s">
        <v>62</v>
      </c>
      <c r="H268" s="6" t="s">
        <v>17</v>
      </c>
      <c r="I268" s="7" t="s">
        <v>18</v>
      </c>
      <c r="J268" s="2" t="s">
        <v>19</v>
      </c>
      <c r="K268" s="3"/>
      <c r="L268" s="2"/>
      <c r="M268" s="3"/>
    </row>
    <row r="269" customFormat="false" ht="15" hidden="false" customHeight="false" outlineLevel="0" collapsed="false">
      <c r="A269" s="2" t="n">
        <v>12</v>
      </c>
      <c r="B269" s="3" t="s">
        <v>325</v>
      </c>
      <c r="C269" s="3" t="s">
        <v>332</v>
      </c>
      <c r="D269" s="2" t="n">
        <v>268</v>
      </c>
      <c r="E269" s="2"/>
      <c r="F269" s="4" t="s">
        <v>335</v>
      </c>
      <c r="G269" s="8" t="s">
        <v>62</v>
      </c>
      <c r="H269" s="6" t="s">
        <v>17</v>
      </c>
      <c r="I269" s="7" t="s">
        <v>18</v>
      </c>
      <c r="J269" s="2" t="s">
        <v>19</v>
      </c>
      <c r="K269" s="3"/>
      <c r="L269" s="2"/>
      <c r="M269" s="3"/>
    </row>
    <row r="270" customFormat="false" ht="15" hidden="false" customHeight="false" outlineLevel="0" collapsed="false">
      <c r="A270" s="2" t="n">
        <v>12</v>
      </c>
      <c r="B270" s="3" t="s">
        <v>325</v>
      </c>
      <c r="C270" s="3" t="s">
        <v>332</v>
      </c>
      <c r="D270" s="2" t="n">
        <v>269</v>
      </c>
      <c r="E270" s="2"/>
      <c r="F270" s="4" t="s">
        <v>336</v>
      </c>
      <c r="G270" s="8" t="s">
        <v>62</v>
      </c>
      <c r="H270" s="6" t="s">
        <v>17</v>
      </c>
      <c r="I270" s="7" t="s">
        <v>18</v>
      </c>
      <c r="J270" s="2" t="s">
        <v>19</v>
      </c>
      <c r="K270" s="3"/>
      <c r="L270" s="2"/>
      <c r="M270" s="3"/>
    </row>
    <row r="271" customFormat="false" ht="15" hidden="false" customHeight="false" outlineLevel="0" collapsed="false">
      <c r="A271" s="2" t="n">
        <v>12</v>
      </c>
      <c r="B271" s="3" t="s">
        <v>325</v>
      </c>
      <c r="C271" s="3" t="s">
        <v>332</v>
      </c>
      <c r="D271" s="2" t="n">
        <v>270</v>
      </c>
      <c r="E271" s="2"/>
      <c r="F271" s="4" t="s">
        <v>337</v>
      </c>
      <c r="G271" s="8" t="s">
        <v>62</v>
      </c>
      <c r="H271" s="6" t="s">
        <v>17</v>
      </c>
      <c r="I271" s="7" t="s">
        <v>18</v>
      </c>
      <c r="J271" s="2" t="s">
        <v>19</v>
      </c>
      <c r="K271" s="3"/>
      <c r="L271" s="2"/>
      <c r="M271" s="3"/>
    </row>
    <row r="272" customFormat="false" ht="15" hidden="false" customHeight="false" outlineLevel="0" collapsed="false">
      <c r="A272" s="2" t="n">
        <v>12</v>
      </c>
      <c r="B272" s="3" t="s">
        <v>325</v>
      </c>
      <c r="C272" s="3" t="s">
        <v>332</v>
      </c>
      <c r="D272" s="2" t="n">
        <v>271</v>
      </c>
      <c r="E272" s="2"/>
      <c r="F272" s="4" t="s">
        <v>338</v>
      </c>
      <c r="G272" s="9" t="s">
        <v>100</v>
      </c>
      <c r="H272" s="6" t="s">
        <v>17</v>
      </c>
      <c r="I272" s="7" t="s">
        <v>18</v>
      </c>
      <c r="J272" s="2" t="s">
        <v>19</v>
      </c>
      <c r="K272" s="3"/>
      <c r="L272" s="2"/>
      <c r="M272" s="3"/>
    </row>
    <row r="273" customFormat="false" ht="15" hidden="false" customHeight="false" outlineLevel="0" collapsed="false">
      <c r="A273" s="2" t="n">
        <v>12</v>
      </c>
      <c r="B273" s="3" t="s">
        <v>325</v>
      </c>
      <c r="C273" s="3" t="s">
        <v>332</v>
      </c>
      <c r="D273" s="2" t="n">
        <v>272</v>
      </c>
      <c r="E273" s="2"/>
      <c r="F273" s="4" t="s">
        <v>339</v>
      </c>
      <c r="G273" s="5" t="s">
        <v>16</v>
      </c>
      <c r="H273" s="6" t="s">
        <v>17</v>
      </c>
      <c r="I273" s="7" t="s">
        <v>18</v>
      </c>
      <c r="J273" s="2" t="s">
        <v>19</v>
      </c>
      <c r="K273" s="3"/>
      <c r="L273" s="2"/>
      <c r="M273" s="3"/>
    </row>
    <row r="274" customFormat="false" ht="15" hidden="false" customHeight="false" outlineLevel="0" collapsed="false">
      <c r="A274" s="2" t="n">
        <v>12</v>
      </c>
      <c r="B274" s="3" t="s">
        <v>325</v>
      </c>
      <c r="C274" s="3" t="s">
        <v>332</v>
      </c>
      <c r="D274" s="2" t="n">
        <v>273</v>
      </c>
      <c r="E274" s="2"/>
      <c r="F274" s="4" t="s">
        <v>340</v>
      </c>
      <c r="G274" s="8" t="s">
        <v>62</v>
      </c>
      <c r="H274" s="6" t="s">
        <v>17</v>
      </c>
      <c r="I274" s="7" t="s">
        <v>18</v>
      </c>
      <c r="J274" s="2" t="s">
        <v>19</v>
      </c>
      <c r="K274" s="3"/>
      <c r="L274" s="2"/>
      <c r="M274" s="3"/>
    </row>
    <row r="275" customFormat="false" ht="15" hidden="false" customHeight="false" outlineLevel="0" collapsed="false">
      <c r="A275" s="2" t="n">
        <v>12</v>
      </c>
      <c r="B275" s="3" t="s">
        <v>325</v>
      </c>
      <c r="C275" s="3" t="s">
        <v>332</v>
      </c>
      <c r="D275" s="2" t="n">
        <v>274</v>
      </c>
      <c r="E275" s="2"/>
      <c r="F275" s="4" t="s">
        <v>341</v>
      </c>
      <c r="G275" s="8" t="s">
        <v>62</v>
      </c>
      <c r="H275" s="6" t="s">
        <v>17</v>
      </c>
      <c r="I275" s="7" t="s">
        <v>18</v>
      </c>
      <c r="J275" s="2" t="s">
        <v>19</v>
      </c>
      <c r="K275" s="3"/>
      <c r="L275" s="2"/>
      <c r="M275" s="3"/>
    </row>
    <row r="276" customFormat="false" ht="15" hidden="false" customHeight="false" outlineLevel="0" collapsed="false">
      <c r="A276" s="2" t="n">
        <v>12</v>
      </c>
      <c r="B276" s="3" t="s">
        <v>325</v>
      </c>
      <c r="C276" s="3" t="s">
        <v>332</v>
      </c>
      <c r="D276" s="2" t="n">
        <v>275</v>
      </c>
      <c r="E276" s="2"/>
      <c r="F276" s="4" t="s">
        <v>342</v>
      </c>
      <c r="G276" s="8" t="s">
        <v>62</v>
      </c>
      <c r="H276" s="6" t="s">
        <v>17</v>
      </c>
      <c r="I276" s="7" t="s">
        <v>18</v>
      </c>
      <c r="J276" s="2" t="s">
        <v>19</v>
      </c>
      <c r="K276" s="3"/>
      <c r="L276" s="2"/>
      <c r="M276" s="3"/>
    </row>
    <row r="277" customFormat="false" ht="15" hidden="false" customHeight="false" outlineLevel="0" collapsed="false">
      <c r="A277" s="2" t="n">
        <v>12</v>
      </c>
      <c r="B277" s="3" t="s">
        <v>325</v>
      </c>
      <c r="C277" s="3" t="s">
        <v>332</v>
      </c>
      <c r="D277" s="2" t="n">
        <v>276</v>
      </c>
      <c r="E277" s="2"/>
      <c r="F277" s="4" t="s">
        <v>343</v>
      </c>
      <c r="G277" s="8" t="s">
        <v>62</v>
      </c>
      <c r="H277" s="6" t="s">
        <v>17</v>
      </c>
      <c r="I277" s="7" t="s">
        <v>18</v>
      </c>
      <c r="J277" s="2" t="s">
        <v>19</v>
      </c>
      <c r="K277" s="3"/>
      <c r="L277" s="2"/>
      <c r="M277" s="3"/>
    </row>
    <row r="278" customFormat="false" ht="15" hidden="false" customHeight="false" outlineLevel="0" collapsed="false">
      <c r="A278" s="2" t="n">
        <v>13</v>
      </c>
      <c r="B278" s="3" t="s">
        <v>344</v>
      </c>
      <c r="C278" s="3" t="s">
        <v>345</v>
      </c>
      <c r="D278" s="2" t="n">
        <v>277</v>
      </c>
      <c r="E278" s="2"/>
      <c r="F278" s="4" t="s">
        <v>346</v>
      </c>
      <c r="G278" s="5" t="s">
        <v>16</v>
      </c>
      <c r="H278" s="6" t="s">
        <v>17</v>
      </c>
      <c r="I278" s="7" t="s">
        <v>18</v>
      </c>
      <c r="J278" s="2" t="s">
        <v>19</v>
      </c>
      <c r="K278" s="3"/>
      <c r="L278" s="2"/>
      <c r="M278" s="3"/>
    </row>
    <row r="279" customFormat="false" ht="15" hidden="false" customHeight="false" outlineLevel="0" collapsed="false">
      <c r="A279" s="2" t="n">
        <v>13</v>
      </c>
      <c r="B279" s="3" t="s">
        <v>344</v>
      </c>
      <c r="C279" s="3" t="s">
        <v>345</v>
      </c>
      <c r="D279" s="2" t="n">
        <v>278</v>
      </c>
      <c r="E279" s="2"/>
      <c r="F279" s="4" t="s">
        <v>347</v>
      </c>
      <c r="G279" s="5" t="s">
        <v>16</v>
      </c>
      <c r="H279" s="6" t="s">
        <v>17</v>
      </c>
      <c r="I279" s="7" t="s">
        <v>18</v>
      </c>
      <c r="J279" s="2" t="s">
        <v>19</v>
      </c>
      <c r="K279" s="3"/>
      <c r="L279" s="2"/>
      <c r="M279" s="3"/>
    </row>
    <row r="280" customFormat="false" ht="15" hidden="false" customHeight="false" outlineLevel="0" collapsed="false">
      <c r="A280" s="2" t="n">
        <v>13</v>
      </c>
      <c r="B280" s="3" t="s">
        <v>344</v>
      </c>
      <c r="C280" s="3" t="s">
        <v>345</v>
      </c>
      <c r="D280" s="2" t="n">
        <v>279</v>
      </c>
      <c r="E280" s="2"/>
      <c r="F280" s="4" t="s">
        <v>348</v>
      </c>
      <c r="G280" s="5" t="s">
        <v>16</v>
      </c>
      <c r="H280" s="6" t="s">
        <v>17</v>
      </c>
      <c r="I280" s="7" t="s">
        <v>18</v>
      </c>
      <c r="J280" s="2" t="s">
        <v>19</v>
      </c>
      <c r="K280" s="3"/>
      <c r="L280" s="2"/>
      <c r="M280" s="3"/>
    </row>
    <row r="281" customFormat="false" ht="15" hidden="false" customHeight="false" outlineLevel="0" collapsed="false">
      <c r="A281" s="2" t="n">
        <v>13</v>
      </c>
      <c r="B281" s="3" t="s">
        <v>344</v>
      </c>
      <c r="C281" s="3" t="s">
        <v>345</v>
      </c>
      <c r="D281" s="2" t="n">
        <v>280</v>
      </c>
      <c r="E281" s="2"/>
      <c r="F281" s="4" t="s">
        <v>349</v>
      </c>
      <c r="G281" s="5" t="s">
        <v>16</v>
      </c>
      <c r="H281" s="6" t="s">
        <v>17</v>
      </c>
      <c r="I281" s="7" t="s">
        <v>18</v>
      </c>
      <c r="J281" s="2" t="s">
        <v>19</v>
      </c>
      <c r="K281" s="3"/>
      <c r="L281" s="2"/>
      <c r="M281" s="3"/>
    </row>
    <row r="282" customFormat="false" ht="15" hidden="false" customHeight="false" outlineLevel="0" collapsed="false">
      <c r="A282" s="2" t="n">
        <v>13</v>
      </c>
      <c r="B282" s="3" t="s">
        <v>344</v>
      </c>
      <c r="C282" s="3" t="s">
        <v>345</v>
      </c>
      <c r="D282" s="2" t="n">
        <v>281</v>
      </c>
      <c r="E282" s="2"/>
      <c r="F282" s="4" t="s">
        <v>350</v>
      </c>
      <c r="G282" s="5" t="s">
        <v>16</v>
      </c>
      <c r="H282" s="6" t="s">
        <v>17</v>
      </c>
      <c r="I282" s="7" t="s">
        <v>18</v>
      </c>
      <c r="J282" s="2" t="s">
        <v>19</v>
      </c>
      <c r="K282" s="3"/>
      <c r="L282" s="2"/>
      <c r="M282" s="3"/>
    </row>
    <row r="283" customFormat="false" ht="15" hidden="false" customHeight="false" outlineLevel="0" collapsed="false">
      <c r="A283" s="2" t="n">
        <v>13</v>
      </c>
      <c r="B283" s="3" t="s">
        <v>344</v>
      </c>
      <c r="C283" s="3" t="s">
        <v>345</v>
      </c>
      <c r="D283" s="2" t="n">
        <v>282</v>
      </c>
      <c r="E283" s="2"/>
      <c r="F283" s="4" t="s">
        <v>351</v>
      </c>
      <c r="G283" s="5" t="s">
        <v>16</v>
      </c>
      <c r="H283" s="6" t="s">
        <v>17</v>
      </c>
      <c r="I283" s="7" t="s">
        <v>18</v>
      </c>
      <c r="J283" s="2" t="s">
        <v>19</v>
      </c>
      <c r="K283" s="3"/>
      <c r="L283" s="2"/>
      <c r="M283" s="3"/>
    </row>
    <row r="284" customFormat="false" ht="15" hidden="false" customHeight="false" outlineLevel="0" collapsed="false">
      <c r="A284" s="2" t="n">
        <v>13</v>
      </c>
      <c r="B284" s="3" t="s">
        <v>344</v>
      </c>
      <c r="C284" s="3" t="s">
        <v>345</v>
      </c>
      <c r="D284" s="2" t="n">
        <v>283</v>
      </c>
      <c r="E284" s="2"/>
      <c r="F284" s="4" t="s">
        <v>352</v>
      </c>
      <c r="G284" s="8" t="s">
        <v>62</v>
      </c>
      <c r="H284" s="6" t="s">
        <v>17</v>
      </c>
      <c r="I284" s="7" t="s">
        <v>18</v>
      </c>
      <c r="J284" s="2" t="s">
        <v>19</v>
      </c>
      <c r="K284" s="3"/>
      <c r="L284" s="2"/>
      <c r="M284" s="3"/>
    </row>
    <row r="285" customFormat="false" ht="15" hidden="false" customHeight="false" outlineLevel="0" collapsed="false">
      <c r="A285" s="2" t="n">
        <v>13</v>
      </c>
      <c r="B285" s="3" t="s">
        <v>344</v>
      </c>
      <c r="C285" s="3" t="s">
        <v>345</v>
      </c>
      <c r="D285" s="2" t="n">
        <v>284</v>
      </c>
      <c r="E285" s="2"/>
      <c r="F285" s="4" t="s">
        <v>353</v>
      </c>
      <c r="G285" s="5" t="s">
        <v>16</v>
      </c>
      <c r="H285" s="6" t="s">
        <v>17</v>
      </c>
      <c r="I285" s="7" t="s">
        <v>18</v>
      </c>
      <c r="J285" s="2" t="s">
        <v>19</v>
      </c>
      <c r="K285" s="3"/>
      <c r="L285" s="2"/>
      <c r="M285" s="3"/>
    </row>
    <row r="286" customFormat="false" ht="15" hidden="false" customHeight="false" outlineLevel="0" collapsed="false">
      <c r="A286" s="2" t="n">
        <v>13</v>
      </c>
      <c r="B286" s="3" t="s">
        <v>344</v>
      </c>
      <c r="C286" s="3" t="s">
        <v>345</v>
      </c>
      <c r="D286" s="2" t="n">
        <v>285</v>
      </c>
      <c r="E286" s="2"/>
      <c r="F286" s="4" t="s">
        <v>354</v>
      </c>
      <c r="G286" s="8" t="s">
        <v>62</v>
      </c>
      <c r="H286" s="6" t="s">
        <v>17</v>
      </c>
      <c r="I286" s="7" t="s">
        <v>18</v>
      </c>
      <c r="J286" s="2" t="s">
        <v>19</v>
      </c>
      <c r="K286" s="3"/>
      <c r="L286" s="2"/>
      <c r="M286" s="3"/>
    </row>
    <row r="287" customFormat="false" ht="15" hidden="false" customHeight="false" outlineLevel="0" collapsed="false">
      <c r="A287" s="2" t="n">
        <v>13</v>
      </c>
      <c r="B287" s="3" t="s">
        <v>344</v>
      </c>
      <c r="C287" s="3" t="s">
        <v>345</v>
      </c>
      <c r="D287" s="2" t="n">
        <v>286</v>
      </c>
      <c r="E287" s="2"/>
      <c r="F287" s="4" t="s">
        <v>355</v>
      </c>
      <c r="G287" s="8" t="s">
        <v>62</v>
      </c>
      <c r="H287" s="6" t="s">
        <v>17</v>
      </c>
      <c r="I287" s="7" t="s">
        <v>18</v>
      </c>
      <c r="J287" s="2" t="s">
        <v>19</v>
      </c>
      <c r="K287" s="3"/>
      <c r="L287" s="2"/>
      <c r="M287" s="3"/>
    </row>
    <row r="288" customFormat="false" ht="15" hidden="false" customHeight="false" outlineLevel="0" collapsed="false">
      <c r="A288" s="2" t="n">
        <v>13</v>
      </c>
      <c r="B288" s="3" t="s">
        <v>344</v>
      </c>
      <c r="C288" s="3" t="s">
        <v>345</v>
      </c>
      <c r="D288" s="2" t="n">
        <v>287</v>
      </c>
      <c r="E288" s="2"/>
      <c r="F288" s="4" t="s">
        <v>356</v>
      </c>
      <c r="G288" s="9" t="s">
        <v>100</v>
      </c>
      <c r="H288" s="6" t="s">
        <v>17</v>
      </c>
      <c r="I288" s="7" t="s">
        <v>18</v>
      </c>
      <c r="J288" s="2" t="s">
        <v>19</v>
      </c>
      <c r="K288" s="3"/>
      <c r="L288" s="2"/>
      <c r="M288" s="3"/>
    </row>
    <row r="289" customFormat="false" ht="15" hidden="false" customHeight="false" outlineLevel="0" collapsed="false">
      <c r="A289" s="2" t="n">
        <v>13</v>
      </c>
      <c r="B289" s="3" t="s">
        <v>344</v>
      </c>
      <c r="C289" s="3" t="s">
        <v>345</v>
      </c>
      <c r="D289" s="2" t="n">
        <v>288</v>
      </c>
      <c r="E289" s="2"/>
      <c r="F289" s="4" t="s">
        <v>357</v>
      </c>
      <c r="G289" s="8" t="s">
        <v>62</v>
      </c>
      <c r="H289" s="6" t="s">
        <v>17</v>
      </c>
      <c r="I289" s="7" t="s">
        <v>18</v>
      </c>
      <c r="J289" s="2" t="s">
        <v>19</v>
      </c>
      <c r="K289" s="3"/>
      <c r="L289" s="2"/>
      <c r="M289" s="3"/>
    </row>
    <row r="290" customFormat="false" ht="15" hidden="false" customHeight="false" outlineLevel="0" collapsed="false">
      <c r="A290" s="2" t="n">
        <v>13</v>
      </c>
      <c r="B290" s="3" t="s">
        <v>344</v>
      </c>
      <c r="C290" s="3" t="s">
        <v>345</v>
      </c>
      <c r="D290" s="2" t="n">
        <v>289</v>
      </c>
      <c r="E290" s="2"/>
      <c r="F290" s="4" t="s">
        <v>358</v>
      </c>
      <c r="G290" s="5" t="s">
        <v>16</v>
      </c>
      <c r="H290" s="6" t="s">
        <v>17</v>
      </c>
      <c r="I290" s="7" t="s">
        <v>18</v>
      </c>
      <c r="J290" s="2" t="s">
        <v>19</v>
      </c>
      <c r="K290" s="3"/>
      <c r="L290" s="2"/>
      <c r="M290" s="3"/>
    </row>
    <row r="291" customFormat="false" ht="15" hidden="false" customHeight="false" outlineLevel="0" collapsed="false">
      <c r="A291" s="2" t="n">
        <v>13</v>
      </c>
      <c r="B291" s="3" t="s">
        <v>344</v>
      </c>
      <c r="C291" s="3" t="s">
        <v>359</v>
      </c>
      <c r="D291" s="2" t="n">
        <v>290</v>
      </c>
      <c r="E291" s="2"/>
      <c r="F291" s="4" t="s">
        <v>360</v>
      </c>
      <c r="G291" s="8" t="s">
        <v>62</v>
      </c>
      <c r="H291" s="6" t="s">
        <v>17</v>
      </c>
      <c r="I291" s="7" t="s">
        <v>18</v>
      </c>
      <c r="J291" s="2" t="s">
        <v>19</v>
      </c>
      <c r="K291" s="3"/>
      <c r="L291" s="2"/>
      <c r="M291" s="3"/>
    </row>
    <row r="292" customFormat="false" ht="15" hidden="false" customHeight="false" outlineLevel="0" collapsed="false">
      <c r="A292" s="2" t="n">
        <v>13</v>
      </c>
      <c r="B292" s="3" t="s">
        <v>344</v>
      </c>
      <c r="C292" s="3" t="s">
        <v>359</v>
      </c>
      <c r="D292" s="2" t="n">
        <v>291</v>
      </c>
      <c r="E292" s="2"/>
      <c r="F292" s="4" t="s">
        <v>361</v>
      </c>
      <c r="G292" s="8" t="s">
        <v>62</v>
      </c>
      <c r="H292" s="6" t="s">
        <v>17</v>
      </c>
      <c r="I292" s="7" t="s">
        <v>18</v>
      </c>
      <c r="J292" s="2" t="s">
        <v>19</v>
      </c>
      <c r="K292" s="3"/>
      <c r="L292" s="2"/>
      <c r="M292" s="3"/>
    </row>
    <row r="293" customFormat="false" ht="15" hidden="false" customHeight="false" outlineLevel="0" collapsed="false">
      <c r="A293" s="2" t="n">
        <v>13</v>
      </c>
      <c r="B293" s="3" t="s">
        <v>344</v>
      </c>
      <c r="C293" s="3" t="s">
        <v>359</v>
      </c>
      <c r="D293" s="2" t="n">
        <v>292</v>
      </c>
      <c r="E293" s="2"/>
      <c r="F293" s="4" t="s">
        <v>362</v>
      </c>
      <c r="G293" s="9" t="s">
        <v>100</v>
      </c>
      <c r="H293" s="6" t="s">
        <v>17</v>
      </c>
      <c r="I293" s="7" t="s">
        <v>18</v>
      </c>
      <c r="J293" s="2" t="s">
        <v>19</v>
      </c>
      <c r="K293" s="3"/>
      <c r="L293" s="2"/>
      <c r="M293" s="3"/>
    </row>
    <row r="294" customFormat="false" ht="15" hidden="false" customHeight="false" outlineLevel="0" collapsed="false">
      <c r="A294" s="2" t="n">
        <v>13</v>
      </c>
      <c r="B294" s="3" t="s">
        <v>344</v>
      </c>
      <c r="C294" s="3" t="s">
        <v>359</v>
      </c>
      <c r="D294" s="2" t="n">
        <v>293</v>
      </c>
      <c r="E294" s="2"/>
      <c r="F294" s="4" t="s">
        <v>363</v>
      </c>
      <c r="G294" s="8" t="s">
        <v>62</v>
      </c>
      <c r="H294" s="6" t="s">
        <v>17</v>
      </c>
      <c r="I294" s="7" t="s">
        <v>18</v>
      </c>
      <c r="J294" s="2" t="s">
        <v>19</v>
      </c>
      <c r="K294" s="3"/>
      <c r="L294" s="2"/>
      <c r="M294" s="3"/>
    </row>
    <row r="295" customFormat="false" ht="15" hidden="false" customHeight="false" outlineLevel="0" collapsed="false">
      <c r="A295" s="2" t="n">
        <v>13</v>
      </c>
      <c r="B295" s="3" t="s">
        <v>344</v>
      </c>
      <c r="C295" s="3" t="s">
        <v>359</v>
      </c>
      <c r="D295" s="2" t="n">
        <v>294</v>
      </c>
      <c r="E295" s="2"/>
      <c r="F295" s="4" t="s">
        <v>364</v>
      </c>
      <c r="G295" s="8" t="s">
        <v>62</v>
      </c>
      <c r="H295" s="6" t="s">
        <v>17</v>
      </c>
      <c r="I295" s="7" t="s">
        <v>18</v>
      </c>
      <c r="J295" s="2" t="s">
        <v>19</v>
      </c>
      <c r="K295" s="3"/>
      <c r="L295" s="2"/>
      <c r="M295" s="3"/>
    </row>
    <row r="296" customFormat="false" ht="15" hidden="false" customHeight="false" outlineLevel="0" collapsed="false">
      <c r="A296" s="2" t="n">
        <v>13</v>
      </c>
      <c r="B296" s="3" t="s">
        <v>344</v>
      </c>
      <c r="C296" s="3" t="s">
        <v>359</v>
      </c>
      <c r="D296" s="2" t="n">
        <v>295</v>
      </c>
      <c r="E296" s="2"/>
      <c r="F296" s="4" t="s">
        <v>365</v>
      </c>
      <c r="G296" s="8" t="s">
        <v>62</v>
      </c>
      <c r="H296" s="6" t="s">
        <v>17</v>
      </c>
      <c r="I296" s="7" t="s">
        <v>18</v>
      </c>
      <c r="J296" s="2" t="s">
        <v>19</v>
      </c>
      <c r="K296" s="3"/>
      <c r="L296" s="2"/>
      <c r="M296" s="3"/>
    </row>
    <row r="297" customFormat="false" ht="15" hidden="false" customHeight="false" outlineLevel="0" collapsed="false">
      <c r="A297" s="2" t="n">
        <v>13</v>
      </c>
      <c r="B297" s="3" t="s">
        <v>344</v>
      </c>
      <c r="C297" s="3" t="s">
        <v>359</v>
      </c>
      <c r="D297" s="2" t="n">
        <v>296</v>
      </c>
      <c r="E297" s="2"/>
      <c r="F297" s="4" t="s">
        <v>366</v>
      </c>
      <c r="G297" s="9" t="s">
        <v>100</v>
      </c>
      <c r="H297" s="6" t="s">
        <v>17</v>
      </c>
      <c r="I297" s="7" t="s">
        <v>18</v>
      </c>
      <c r="J297" s="2" t="s">
        <v>19</v>
      </c>
      <c r="K297" s="3"/>
      <c r="L297" s="2"/>
      <c r="M297" s="3"/>
    </row>
    <row r="298" customFormat="false" ht="15" hidden="false" customHeight="false" outlineLevel="0" collapsed="false">
      <c r="A298" s="2" t="n">
        <v>13</v>
      </c>
      <c r="B298" s="3" t="s">
        <v>344</v>
      </c>
      <c r="C298" s="3" t="s">
        <v>359</v>
      </c>
      <c r="D298" s="2" t="n">
        <v>297</v>
      </c>
      <c r="E298" s="2"/>
      <c r="F298" s="4" t="s">
        <v>367</v>
      </c>
      <c r="G298" s="8" t="s">
        <v>62</v>
      </c>
      <c r="H298" s="6" t="s">
        <v>17</v>
      </c>
      <c r="I298" s="7" t="s">
        <v>18</v>
      </c>
      <c r="J298" s="2" t="s">
        <v>19</v>
      </c>
      <c r="K298" s="3"/>
      <c r="L298" s="2"/>
      <c r="M298" s="3"/>
    </row>
    <row r="299" customFormat="false" ht="15" hidden="false" customHeight="false" outlineLevel="0" collapsed="false">
      <c r="A299" s="2" t="n">
        <v>13</v>
      </c>
      <c r="B299" s="3" t="s">
        <v>344</v>
      </c>
      <c r="C299" s="3" t="s">
        <v>359</v>
      </c>
      <c r="D299" s="2" t="n">
        <v>298</v>
      </c>
      <c r="E299" s="2"/>
      <c r="F299" s="4" t="s">
        <v>368</v>
      </c>
      <c r="G299" s="8" t="s">
        <v>62</v>
      </c>
      <c r="H299" s="6" t="s">
        <v>17</v>
      </c>
      <c r="I299" s="7" t="s">
        <v>18</v>
      </c>
      <c r="J299" s="2" t="s">
        <v>19</v>
      </c>
      <c r="K299" s="3"/>
      <c r="L299" s="2"/>
      <c r="M299" s="3"/>
    </row>
    <row r="300" customFormat="false" ht="15" hidden="false" customHeight="false" outlineLevel="0" collapsed="false">
      <c r="A300" s="2" t="n">
        <v>13</v>
      </c>
      <c r="B300" s="3" t="s">
        <v>344</v>
      </c>
      <c r="C300" s="3" t="s">
        <v>359</v>
      </c>
      <c r="D300" s="2" t="n">
        <v>299</v>
      </c>
      <c r="E300" s="2"/>
      <c r="F300" s="4" t="s">
        <v>369</v>
      </c>
      <c r="G300" s="8" t="s">
        <v>62</v>
      </c>
      <c r="H300" s="6" t="s">
        <v>17</v>
      </c>
      <c r="I300" s="7" t="s">
        <v>18</v>
      </c>
      <c r="J300" s="2" t="s">
        <v>19</v>
      </c>
      <c r="K300" s="3"/>
      <c r="L300" s="2"/>
      <c r="M300" s="3"/>
    </row>
    <row r="301" customFormat="false" ht="15" hidden="false" customHeight="false" outlineLevel="0" collapsed="false">
      <c r="A301" s="2" t="n">
        <v>13</v>
      </c>
      <c r="B301" s="3" t="s">
        <v>344</v>
      </c>
      <c r="C301" s="3" t="s">
        <v>359</v>
      </c>
      <c r="D301" s="2" t="n">
        <v>300</v>
      </c>
      <c r="E301" s="2"/>
      <c r="F301" s="4" t="s">
        <v>370</v>
      </c>
      <c r="G301" s="8" t="s">
        <v>62</v>
      </c>
      <c r="H301" s="6" t="s">
        <v>17</v>
      </c>
      <c r="I301" s="7" t="s">
        <v>18</v>
      </c>
      <c r="J301" s="2" t="s">
        <v>19</v>
      </c>
      <c r="K301" s="3"/>
      <c r="L301" s="2"/>
      <c r="M301" s="3"/>
    </row>
    <row r="302" customFormat="false" ht="15" hidden="false" customHeight="false" outlineLevel="0" collapsed="false">
      <c r="A302" s="2" t="n">
        <v>13</v>
      </c>
      <c r="B302" s="3" t="s">
        <v>344</v>
      </c>
      <c r="C302" s="3" t="s">
        <v>359</v>
      </c>
      <c r="D302" s="2" t="n">
        <v>301</v>
      </c>
      <c r="E302" s="2"/>
      <c r="F302" s="4" t="s">
        <v>371</v>
      </c>
      <c r="G302" s="8" t="s">
        <v>62</v>
      </c>
      <c r="H302" s="6" t="s">
        <v>17</v>
      </c>
      <c r="I302" s="7" t="s">
        <v>18</v>
      </c>
      <c r="J302" s="2" t="s">
        <v>19</v>
      </c>
      <c r="K302" s="3"/>
      <c r="L302" s="2"/>
      <c r="M302" s="3"/>
    </row>
    <row r="303" customFormat="false" ht="15" hidden="false" customHeight="false" outlineLevel="0" collapsed="false">
      <c r="A303" s="2" t="n">
        <v>13</v>
      </c>
      <c r="B303" s="3" t="s">
        <v>344</v>
      </c>
      <c r="C303" s="3" t="s">
        <v>372</v>
      </c>
      <c r="D303" s="2" t="n">
        <v>302</v>
      </c>
      <c r="E303" s="2"/>
      <c r="F303" s="4" t="s">
        <v>373</v>
      </c>
      <c r="G303" s="8" t="s">
        <v>62</v>
      </c>
      <c r="H303" s="6" t="s">
        <v>17</v>
      </c>
      <c r="I303" s="7" t="s">
        <v>18</v>
      </c>
      <c r="J303" s="2" t="s">
        <v>19</v>
      </c>
      <c r="K303" s="3"/>
      <c r="L303" s="2"/>
      <c r="M303" s="3"/>
    </row>
    <row r="304" customFormat="false" ht="15" hidden="false" customHeight="false" outlineLevel="0" collapsed="false">
      <c r="A304" s="2" t="n">
        <v>13</v>
      </c>
      <c r="B304" s="3" t="s">
        <v>344</v>
      </c>
      <c r="C304" s="3" t="s">
        <v>372</v>
      </c>
      <c r="D304" s="2" t="n">
        <v>303</v>
      </c>
      <c r="E304" s="2"/>
      <c r="F304" s="4" t="s">
        <v>374</v>
      </c>
      <c r="G304" s="8" t="s">
        <v>62</v>
      </c>
      <c r="H304" s="6" t="s">
        <v>17</v>
      </c>
      <c r="I304" s="7" t="s">
        <v>18</v>
      </c>
      <c r="J304" s="2" t="s">
        <v>19</v>
      </c>
      <c r="K304" s="3"/>
      <c r="L304" s="2"/>
      <c r="M304" s="3"/>
    </row>
    <row r="305" customFormat="false" ht="15" hidden="false" customHeight="false" outlineLevel="0" collapsed="false">
      <c r="A305" s="2" t="n">
        <v>13</v>
      </c>
      <c r="B305" s="3" t="s">
        <v>344</v>
      </c>
      <c r="C305" s="3" t="s">
        <v>372</v>
      </c>
      <c r="D305" s="2" t="n">
        <v>304</v>
      </c>
      <c r="E305" s="2"/>
      <c r="F305" s="4" t="s">
        <v>375</v>
      </c>
      <c r="G305" s="8" t="s">
        <v>62</v>
      </c>
      <c r="H305" s="6" t="s">
        <v>17</v>
      </c>
      <c r="I305" s="7" t="s">
        <v>18</v>
      </c>
      <c r="J305" s="2" t="s">
        <v>19</v>
      </c>
      <c r="K305" s="3"/>
      <c r="L305" s="2"/>
      <c r="M305" s="3"/>
    </row>
    <row r="306" customFormat="false" ht="15" hidden="false" customHeight="false" outlineLevel="0" collapsed="false">
      <c r="A306" s="2" t="n">
        <v>13</v>
      </c>
      <c r="B306" s="3" t="s">
        <v>344</v>
      </c>
      <c r="C306" s="3" t="s">
        <v>372</v>
      </c>
      <c r="D306" s="2" t="n">
        <v>305</v>
      </c>
      <c r="E306" s="2"/>
      <c r="F306" s="4" t="s">
        <v>376</v>
      </c>
      <c r="G306" s="8" t="s">
        <v>62</v>
      </c>
      <c r="H306" s="6" t="s">
        <v>17</v>
      </c>
      <c r="I306" s="7" t="s">
        <v>18</v>
      </c>
      <c r="J306" s="2" t="s">
        <v>19</v>
      </c>
      <c r="K306" s="3"/>
      <c r="L306" s="2"/>
      <c r="M306" s="3"/>
    </row>
    <row r="307" customFormat="false" ht="15" hidden="false" customHeight="false" outlineLevel="0" collapsed="false">
      <c r="A307" s="2" t="n">
        <v>13</v>
      </c>
      <c r="B307" s="3" t="s">
        <v>344</v>
      </c>
      <c r="C307" s="3" t="s">
        <v>372</v>
      </c>
      <c r="D307" s="2" t="n">
        <v>306</v>
      </c>
      <c r="E307" s="2"/>
      <c r="F307" s="4" t="s">
        <v>377</v>
      </c>
      <c r="G307" s="9" t="s">
        <v>100</v>
      </c>
      <c r="H307" s="6" t="s">
        <v>17</v>
      </c>
      <c r="I307" s="7" t="s">
        <v>18</v>
      </c>
      <c r="J307" s="2" t="s">
        <v>19</v>
      </c>
      <c r="K307" s="3"/>
      <c r="L307" s="2"/>
      <c r="M307" s="3"/>
    </row>
    <row r="308" customFormat="false" ht="15" hidden="false" customHeight="false" outlineLevel="0" collapsed="false">
      <c r="A308" s="2" t="n">
        <v>13</v>
      </c>
      <c r="B308" s="3" t="s">
        <v>344</v>
      </c>
      <c r="C308" s="3" t="s">
        <v>372</v>
      </c>
      <c r="D308" s="2" t="n">
        <v>307</v>
      </c>
      <c r="E308" s="2"/>
      <c r="F308" s="4" t="s">
        <v>378</v>
      </c>
      <c r="G308" s="8" t="s">
        <v>62</v>
      </c>
      <c r="H308" s="6" t="s">
        <v>17</v>
      </c>
      <c r="I308" s="7" t="s">
        <v>18</v>
      </c>
      <c r="J308" s="2" t="s">
        <v>19</v>
      </c>
      <c r="K308" s="3"/>
      <c r="L308" s="2"/>
      <c r="M308" s="3"/>
    </row>
    <row r="309" customFormat="false" ht="15" hidden="false" customHeight="false" outlineLevel="0" collapsed="false">
      <c r="A309" s="2" t="n">
        <v>13</v>
      </c>
      <c r="B309" s="3" t="s">
        <v>344</v>
      </c>
      <c r="C309" s="3" t="s">
        <v>372</v>
      </c>
      <c r="D309" s="2" t="n">
        <v>308</v>
      </c>
      <c r="E309" s="2"/>
      <c r="F309" s="4" t="s">
        <v>379</v>
      </c>
      <c r="G309" s="5" t="s">
        <v>16</v>
      </c>
      <c r="H309" s="6" t="s">
        <v>17</v>
      </c>
      <c r="I309" s="7" t="s">
        <v>18</v>
      </c>
      <c r="J309" s="2" t="s">
        <v>19</v>
      </c>
      <c r="K309" s="3"/>
      <c r="L309" s="2"/>
      <c r="M309" s="3"/>
    </row>
    <row r="310" customFormat="false" ht="15" hidden="false" customHeight="false" outlineLevel="0" collapsed="false">
      <c r="A310" s="2" t="n">
        <v>13</v>
      </c>
      <c r="B310" s="3" t="s">
        <v>344</v>
      </c>
      <c r="C310" s="3" t="s">
        <v>372</v>
      </c>
      <c r="D310" s="2" t="n">
        <v>309</v>
      </c>
      <c r="E310" s="2"/>
      <c r="F310" s="4" t="s">
        <v>380</v>
      </c>
      <c r="G310" s="8" t="s">
        <v>62</v>
      </c>
      <c r="H310" s="6" t="s">
        <v>17</v>
      </c>
      <c r="I310" s="7" t="s">
        <v>18</v>
      </c>
      <c r="J310" s="2" t="s">
        <v>19</v>
      </c>
      <c r="K310" s="3"/>
      <c r="L310" s="2"/>
      <c r="M310" s="3"/>
    </row>
    <row r="311" customFormat="false" ht="15" hidden="false" customHeight="false" outlineLevel="0" collapsed="false">
      <c r="A311" s="2" t="n">
        <v>13</v>
      </c>
      <c r="B311" s="3" t="s">
        <v>344</v>
      </c>
      <c r="C311" s="3" t="s">
        <v>372</v>
      </c>
      <c r="D311" s="2" t="n">
        <v>310</v>
      </c>
      <c r="E311" s="2"/>
      <c r="F311" s="4" t="s">
        <v>381</v>
      </c>
      <c r="G311" s="8" t="s">
        <v>62</v>
      </c>
      <c r="H311" s="6" t="s">
        <v>17</v>
      </c>
      <c r="I311" s="7" t="s">
        <v>18</v>
      </c>
      <c r="J311" s="2" t="s">
        <v>19</v>
      </c>
      <c r="K311" s="3"/>
      <c r="L311" s="2"/>
      <c r="M311" s="3"/>
    </row>
    <row r="312" customFormat="false" ht="15" hidden="false" customHeight="false" outlineLevel="0" collapsed="false">
      <c r="A312" s="2" t="n">
        <v>13</v>
      </c>
      <c r="B312" s="3" t="s">
        <v>344</v>
      </c>
      <c r="C312" s="3" t="s">
        <v>372</v>
      </c>
      <c r="D312" s="2" t="n">
        <v>311</v>
      </c>
      <c r="E312" s="2"/>
      <c r="F312" s="4" t="s">
        <v>382</v>
      </c>
      <c r="G312" s="9" t="s">
        <v>100</v>
      </c>
      <c r="H312" s="6" t="s">
        <v>17</v>
      </c>
      <c r="I312" s="7" t="s">
        <v>18</v>
      </c>
      <c r="J312" s="2" t="s">
        <v>19</v>
      </c>
      <c r="K312" s="3"/>
      <c r="L312" s="2"/>
      <c r="M312" s="3"/>
    </row>
    <row r="313" customFormat="false" ht="15" hidden="false" customHeight="false" outlineLevel="0" collapsed="false">
      <c r="A313" s="2" t="n">
        <v>13</v>
      </c>
      <c r="B313" s="3" t="s">
        <v>344</v>
      </c>
      <c r="C313" s="3" t="s">
        <v>372</v>
      </c>
      <c r="D313" s="2" t="n">
        <v>312</v>
      </c>
      <c r="E313" s="2"/>
      <c r="F313" s="4" t="s">
        <v>383</v>
      </c>
      <c r="G313" s="8" t="s">
        <v>62</v>
      </c>
      <c r="H313" s="6" t="s">
        <v>17</v>
      </c>
      <c r="I313" s="7" t="s">
        <v>18</v>
      </c>
      <c r="J313" s="2" t="s">
        <v>19</v>
      </c>
      <c r="K313" s="3"/>
      <c r="L313" s="2"/>
      <c r="M313" s="3"/>
    </row>
    <row r="314" customFormat="false" ht="15" hidden="false" customHeight="false" outlineLevel="0" collapsed="false">
      <c r="A314" s="2" t="n">
        <v>13</v>
      </c>
      <c r="B314" s="3" t="s">
        <v>344</v>
      </c>
      <c r="C314" s="3" t="s">
        <v>372</v>
      </c>
      <c r="D314" s="2" t="n">
        <v>313</v>
      </c>
      <c r="E314" s="2"/>
      <c r="F314" s="4" t="s">
        <v>384</v>
      </c>
      <c r="G314" s="8" t="s">
        <v>62</v>
      </c>
      <c r="H314" s="6" t="s">
        <v>17</v>
      </c>
      <c r="I314" s="7" t="s">
        <v>18</v>
      </c>
      <c r="J314" s="2" t="s">
        <v>19</v>
      </c>
      <c r="K314" s="3"/>
      <c r="L314" s="2"/>
      <c r="M314" s="3"/>
    </row>
    <row r="315" customFormat="false" ht="15" hidden="false" customHeight="false" outlineLevel="0" collapsed="false">
      <c r="A315" s="2" t="n">
        <v>13</v>
      </c>
      <c r="B315" s="3" t="s">
        <v>344</v>
      </c>
      <c r="C315" s="3" t="s">
        <v>372</v>
      </c>
      <c r="D315" s="2" t="n">
        <v>314</v>
      </c>
      <c r="E315" s="2"/>
      <c r="F315" s="4" t="s">
        <v>385</v>
      </c>
      <c r="G315" s="9" t="s">
        <v>100</v>
      </c>
      <c r="H315" s="6" t="s">
        <v>17</v>
      </c>
      <c r="I315" s="7" t="s">
        <v>18</v>
      </c>
      <c r="J315" s="2" t="s">
        <v>19</v>
      </c>
      <c r="K315" s="3"/>
      <c r="L315" s="2"/>
      <c r="M315" s="3"/>
    </row>
    <row r="316" customFormat="false" ht="15" hidden="false" customHeight="false" outlineLevel="0" collapsed="false">
      <c r="A316" s="2" t="n">
        <v>13</v>
      </c>
      <c r="B316" s="3" t="s">
        <v>344</v>
      </c>
      <c r="C316" s="3" t="s">
        <v>372</v>
      </c>
      <c r="D316" s="2" t="n">
        <v>315</v>
      </c>
      <c r="E316" s="2"/>
      <c r="F316" s="4" t="s">
        <v>386</v>
      </c>
      <c r="G316" s="8" t="s">
        <v>62</v>
      </c>
      <c r="H316" s="6" t="s">
        <v>17</v>
      </c>
      <c r="I316" s="7" t="s">
        <v>18</v>
      </c>
      <c r="J316" s="2" t="s">
        <v>19</v>
      </c>
      <c r="K316" s="3"/>
      <c r="L316" s="2"/>
      <c r="M316" s="3"/>
    </row>
    <row r="317" customFormat="false" ht="15" hidden="false" customHeight="false" outlineLevel="0" collapsed="false">
      <c r="A317" s="2" t="n">
        <v>14</v>
      </c>
      <c r="B317" s="3" t="s">
        <v>387</v>
      </c>
      <c r="C317" s="3" t="s">
        <v>388</v>
      </c>
      <c r="D317" s="2" t="n">
        <v>316</v>
      </c>
      <c r="E317" s="2"/>
      <c r="F317" s="4" t="s">
        <v>389</v>
      </c>
      <c r="G317" s="5" t="s">
        <v>16</v>
      </c>
      <c r="H317" s="6" t="s">
        <v>17</v>
      </c>
      <c r="I317" s="7" t="s">
        <v>18</v>
      </c>
      <c r="J317" s="2" t="s">
        <v>19</v>
      </c>
      <c r="K317" s="3"/>
      <c r="L317" s="2"/>
      <c r="M317" s="3"/>
    </row>
    <row r="318" customFormat="false" ht="15" hidden="false" customHeight="false" outlineLevel="0" collapsed="false">
      <c r="A318" s="2" t="n">
        <v>14</v>
      </c>
      <c r="B318" s="3" t="s">
        <v>387</v>
      </c>
      <c r="C318" s="3" t="s">
        <v>388</v>
      </c>
      <c r="D318" s="2" t="n">
        <v>317</v>
      </c>
      <c r="E318" s="2"/>
      <c r="F318" s="4" t="s">
        <v>390</v>
      </c>
      <c r="G318" s="5" t="s">
        <v>16</v>
      </c>
      <c r="H318" s="6" t="s">
        <v>17</v>
      </c>
      <c r="I318" s="7" t="s">
        <v>18</v>
      </c>
      <c r="J318" s="2" t="s">
        <v>19</v>
      </c>
      <c r="K318" s="3"/>
      <c r="L318" s="2"/>
      <c r="M318" s="3"/>
    </row>
    <row r="319" customFormat="false" ht="15" hidden="false" customHeight="false" outlineLevel="0" collapsed="false">
      <c r="A319" s="2" t="n">
        <v>14</v>
      </c>
      <c r="B319" s="3" t="s">
        <v>387</v>
      </c>
      <c r="C319" s="3" t="s">
        <v>388</v>
      </c>
      <c r="D319" s="2" t="n">
        <v>318</v>
      </c>
      <c r="E319" s="2"/>
      <c r="F319" s="4" t="s">
        <v>391</v>
      </c>
      <c r="G319" s="5" t="s">
        <v>16</v>
      </c>
      <c r="H319" s="6" t="s">
        <v>17</v>
      </c>
      <c r="I319" s="7" t="s">
        <v>18</v>
      </c>
      <c r="J319" s="2" t="s">
        <v>19</v>
      </c>
      <c r="K319" s="3"/>
      <c r="L319" s="2"/>
      <c r="M319" s="3"/>
    </row>
    <row r="320" customFormat="false" ht="15" hidden="false" customHeight="false" outlineLevel="0" collapsed="false">
      <c r="A320" s="2" t="n">
        <v>14</v>
      </c>
      <c r="B320" s="3" t="s">
        <v>387</v>
      </c>
      <c r="C320" s="3" t="s">
        <v>392</v>
      </c>
      <c r="D320" s="2" t="n">
        <v>319</v>
      </c>
      <c r="E320" s="2"/>
      <c r="F320" s="4" t="s">
        <v>393</v>
      </c>
      <c r="G320" s="5" t="s">
        <v>16</v>
      </c>
      <c r="H320" s="6" t="s">
        <v>17</v>
      </c>
      <c r="I320" s="7" t="s">
        <v>18</v>
      </c>
      <c r="J320" s="2" t="s">
        <v>19</v>
      </c>
      <c r="K320" s="3"/>
      <c r="L320" s="2"/>
      <c r="M320" s="3"/>
    </row>
    <row r="321" customFormat="false" ht="15" hidden="false" customHeight="false" outlineLevel="0" collapsed="false">
      <c r="A321" s="2" t="n">
        <v>14</v>
      </c>
      <c r="B321" s="3" t="s">
        <v>387</v>
      </c>
      <c r="C321" s="3" t="s">
        <v>392</v>
      </c>
      <c r="D321" s="2" t="n">
        <v>320</v>
      </c>
      <c r="E321" s="2"/>
      <c r="F321" s="4" t="s">
        <v>394</v>
      </c>
      <c r="G321" s="5" t="s">
        <v>16</v>
      </c>
      <c r="H321" s="6" t="s">
        <v>17</v>
      </c>
      <c r="I321" s="7" t="s">
        <v>18</v>
      </c>
      <c r="J321" s="2" t="s">
        <v>19</v>
      </c>
      <c r="K321" s="3"/>
      <c r="L321" s="2"/>
      <c r="M321" s="3"/>
    </row>
    <row r="322" customFormat="false" ht="15" hidden="false" customHeight="false" outlineLevel="0" collapsed="false">
      <c r="A322" s="2" t="n">
        <v>14</v>
      </c>
      <c r="B322" s="3" t="s">
        <v>387</v>
      </c>
      <c r="C322" s="3" t="s">
        <v>392</v>
      </c>
      <c r="D322" s="2" t="n">
        <v>321</v>
      </c>
      <c r="E322" s="2"/>
      <c r="F322" s="4" t="s">
        <v>395</v>
      </c>
      <c r="G322" s="8" t="s">
        <v>62</v>
      </c>
      <c r="H322" s="6" t="s">
        <v>17</v>
      </c>
      <c r="I322" s="7" t="s">
        <v>18</v>
      </c>
      <c r="J322" s="2" t="s">
        <v>19</v>
      </c>
      <c r="K322" s="3"/>
      <c r="L322" s="2"/>
      <c r="M322" s="3"/>
    </row>
    <row r="323" customFormat="false" ht="15" hidden="false" customHeight="false" outlineLevel="0" collapsed="false">
      <c r="A323" s="2" t="n">
        <v>14</v>
      </c>
      <c r="B323" s="3" t="s">
        <v>387</v>
      </c>
      <c r="C323" s="3" t="s">
        <v>392</v>
      </c>
      <c r="D323" s="2" t="n">
        <v>322</v>
      </c>
      <c r="E323" s="2"/>
      <c r="F323" s="4" t="s">
        <v>396</v>
      </c>
      <c r="G323" s="8" t="s">
        <v>62</v>
      </c>
      <c r="H323" s="6" t="s">
        <v>17</v>
      </c>
      <c r="I323" s="7" t="s">
        <v>18</v>
      </c>
      <c r="J323" s="2" t="s">
        <v>19</v>
      </c>
      <c r="K323" s="3"/>
      <c r="L323" s="2"/>
      <c r="M323" s="3"/>
    </row>
    <row r="324" customFormat="false" ht="15" hidden="false" customHeight="false" outlineLevel="0" collapsed="false">
      <c r="A324" s="2" t="n">
        <v>14</v>
      </c>
      <c r="B324" s="3" t="s">
        <v>387</v>
      </c>
      <c r="C324" s="3" t="s">
        <v>392</v>
      </c>
      <c r="D324" s="2" t="n">
        <v>323</v>
      </c>
      <c r="E324" s="2"/>
      <c r="F324" s="4" t="s">
        <v>397</v>
      </c>
      <c r="G324" s="8" t="s">
        <v>62</v>
      </c>
      <c r="H324" s="6" t="s">
        <v>17</v>
      </c>
      <c r="I324" s="7" t="s">
        <v>18</v>
      </c>
      <c r="J324" s="2" t="s">
        <v>19</v>
      </c>
      <c r="K324" s="3"/>
      <c r="L324" s="2"/>
      <c r="M324" s="3"/>
    </row>
    <row r="325" customFormat="false" ht="15" hidden="false" customHeight="false" outlineLevel="0" collapsed="false">
      <c r="A325" s="2" t="n">
        <v>14</v>
      </c>
      <c r="B325" s="3" t="s">
        <v>387</v>
      </c>
      <c r="C325" s="3" t="s">
        <v>392</v>
      </c>
      <c r="D325" s="2" t="n">
        <v>324</v>
      </c>
      <c r="E325" s="2"/>
      <c r="F325" s="4" t="s">
        <v>398</v>
      </c>
      <c r="G325" s="8" t="s">
        <v>62</v>
      </c>
      <c r="H325" s="6" t="s">
        <v>17</v>
      </c>
      <c r="I325" s="7" t="s">
        <v>18</v>
      </c>
      <c r="J325" s="2" t="s">
        <v>19</v>
      </c>
      <c r="K325" s="3"/>
      <c r="L325" s="2"/>
      <c r="M325" s="3"/>
    </row>
    <row r="326" customFormat="false" ht="15" hidden="false" customHeight="false" outlineLevel="0" collapsed="false">
      <c r="A326" s="2" t="n">
        <v>14</v>
      </c>
      <c r="B326" s="3" t="s">
        <v>387</v>
      </c>
      <c r="C326" s="3" t="s">
        <v>392</v>
      </c>
      <c r="D326" s="2" t="n">
        <v>325</v>
      </c>
      <c r="E326" s="2"/>
      <c r="F326" s="4" t="s">
        <v>399</v>
      </c>
      <c r="G326" s="8" t="s">
        <v>62</v>
      </c>
      <c r="H326" s="6" t="s">
        <v>17</v>
      </c>
      <c r="I326" s="7" t="s">
        <v>18</v>
      </c>
      <c r="J326" s="2" t="s">
        <v>19</v>
      </c>
      <c r="K326" s="3"/>
      <c r="L326" s="2"/>
      <c r="M326" s="3"/>
    </row>
    <row r="327" customFormat="false" ht="15" hidden="false" customHeight="false" outlineLevel="0" collapsed="false">
      <c r="A327" s="2" t="n">
        <v>14</v>
      </c>
      <c r="B327" s="3" t="s">
        <v>387</v>
      </c>
      <c r="C327" s="3" t="s">
        <v>392</v>
      </c>
      <c r="D327" s="2" t="n">
        <v>326</v>
      </c>
      <c r="E327" s="2"/>
      <c r="F327" s="4" t="s">
        <v>400</v>
      </c>
      <c r="G327" s="8" t="s">
        <v>62</v>
      </c>
      <c r="H327" s="6" t="s">
        <v>17</v>
      </c>
      <c r="I327" s="7" t="s">
        <v>18</v>
      </c>
      <c r="J327" s="2" t="s">
        <v>19</v>
      </c>
      <c r="K327" s="3"/>
      <c r="L327" s="2"/>
      <c r="M327" s="3"/>
    </row>
    <row r="328" customFormat="false" ht="15" hidden="false" customHeight="false" outlineLevel="0" collapsed="false">
      <c r="A328" s="2" t="n">
        <v>14</v>
      </c>
      <c r="B328" s="3" t="s">
        <v>387</v>
      </c>
      <c r="C328" s="3" t="s">
        <v>392</v>
      </c>
      <c r="D328" s="2" t="n">
        <v>327</v>
      </c>
      <c r="E328" s="2"/>
      <c r="F328" s="4" t="s">
        <v>401</v>
      </c>
      <c r="G328" s="8" t="s">
        <v>62</v>
      </c>
      <c r="H328" s="6" t="s">
        <v>17</v>
      </c>
      <c r="I328" s="7" t="s">
        <v>18</v>
      </c>
      <c r="J328" s="2" t="s">
        <v>19</v>
      </c>
      <c r="K328" s="3"/>
      <c r="L328" s="2"/>
      <c r="M328" s="3"/>
    </row>
    <row r="329" customFormat="false" ht="15" hidden="false" customHeight="false" outlineLevel="0" collapsed="false">
      <c r="A329" s="2" t="n">
        <v>14</v>
      </c>
      <c r="B329" s="3" t="s">
        <v>387</v>
      </c>
      <c r="C329" s="3" t="s">
        <v>392</v>
      </c>
      <c r="D329" s="2" t="n">
        <v>328</v>
      </c>
      <c r="E329" s="2"/>
      <c r="F329" s="4" t="s">
        <v>402</v>
      </c>
      <c r="G329" s="8" t="s">
        <v>62</v>
      </c>
      <c r="H329" s="6" t="s">
        <v>17</v>
      </c>
      <c r="I329" s="7" t="s">
        <v>18</v>
      </c>
      <c r="J329" s="2" t="s">
        <v>19</v>
      </c>
      <c r="K329" s="3"/>
      <c r="L329" s="2"/>
      <c r="M329" s="3"/>
    </row>
    <row r="330" customFormat="false" ht="15" hidden="false" customHeight="false" outlineLevel="0" collapsed="false">
      <c r="A330" s="2" t="n">
        <v>14</v>
      </c>
      <c r="B330" s="3" t="s">
        <v>387</v>
      </c>
      <c r="C330" s="3" t="s">
        <v>392</v>
      </c>
      <c r="D330" s="2" t="n">
        <v>329</v>
      </c>
      <c r="E330" s="2"/>
      <c r="F330" s="4" t="s">
        <v>403</v>
      </c>
      <c r="G330" s="8" t="s">
        <v>62</v>
      </c>
      <c r="H330" s="6" t="s">
        <v>17</v>
      </c>
      <c r="I330" s="7" t="s">
        <v>18</v>
      </c>
      <c r="J330" s="2" t="s">
        <v>19</v>
      </c>
      <c r="K330" s="3"/>
      <c r="L330" s="2"/>
      <c r="M330" s="3"/>
    </row>
    <row r="331" customFormat="false" ht="15" hidden="false" customHeight="false" outlineLevel="0" collapsed="false">
      <c r="A331" s="2" t="n">
        <v>14</v>
      </c>
      <c r="B331" s="3" t="s">
        <v>387</v>
      </c>
      <c r="C331" s="3" t="s">
        <v>392</v>
      </c>
      <c r="D331" s="2" t="n">
        <v>330</v>
      </c>
      <c r="E331" s="2"/>
      <c r="F331" s="4" t="s">
        <v>404</v>
      </c>
      <c r="G331" s="9" t="s">
        <v>100</v>
      </c>
      <c r="H331" s="6" t="s">
        <v>17</v>
      </c>
      <c r="I331" s="7" t="s">
        <v>18</v>
      </c>
      <c r="J331" s="2" t="s">
        <v>19</v>
      </c>
      <c r="K331" s="3"/>
      <c r="L331" s="2"/>
      <c r="M331" s="3"/>
    </row>
    <row r="332" customFormat="false" ht="15" hidden="false" customHeight="false" outlineLevel="0" collapsed="false">
      <c r="A332" s="2" t="n">
        <v>14</v>
      </c>
      <c r="B332" s="3" t="s">
        <v>387</v>
      </c>
      <c r="C332" s="3" t="s">
        <v>392</v>
      </c>
      <c r="D332" s="2" t="n">
        <v>331</v>
      </c>
      <c r="E332" s="2"/>
      <c r="F332" s="4" t="s">
        <v>405</v>
      </c>
      <c r="G332" s="9" t="s">
        <v>100</v>
      </c>
      <c r="H332" s="6" t="s">
        <v>17</v>
      </c>
      <c r="I332" s="7" t="s">
        <v>18</v>
      </c>
      <c r="J332" s="2" t="s">
        <v>19</v>
      </c>
      <c r="K332" s="3"/>
      <c r="L332" s="2"/>
      <c r="M332" s="3"/>
    </row>
    <row r="333" customFormat="false" ht="15" hidden="false" customHeight="false" outlineLevel="0" collapsed="false">
      <c r="A333" s="2" t="n">
        <v>15</v>
      </c>
      <c r="B333" s="3" t="s">
        <v>406</v>
      </c>
      <c r="C333" s="3" t="s">
        <v>407</v>
      </c>
      <c r="D333" s="2" t="n">
        <v>332</v>
      </c>
      <c r="E333" s="2"/>
      <c r="F333" s="4" t="s">
        <v>408</v>
      </c>
      <c r="G333" s="5" t="s">
        <v>16</v>
      </c>
      <c r="H333" s="6" t="s">
        <v>17</v>
      </c>
      <c r="I333" s="7" t="s">
        <v>18</v>
      </c>
      <c r="J333" s="2" t="s">
        <v>19</v>
      </c>
      <c r="K333" s="3"/>
      <c r="L333" s="2"/>
      <c r="M333" s="3"/>
    </row>
    <row r="334" customFormat="false" ht="15" hidden="false" customHeight="false" outlineLevel="0" collapsed="false">
      <c r="A334" s="2" t="n">
        <v>15</v>
      </c>
      <c r="B334" s="3" t="s">
        <v>406</v>
      </c>
      <c r="C334" s="3" t="s">
        <v>407</v>
      </c>
      <c r="D334" s="2" t="n">
        <v>333</v>
      </c>
      <c r="E334" s="2"/>
      <c r="F334" s="4" t="s">
        <v>409</v>
      </c>
      <c r="G334" s="5" t="s">
        <v>16</v>
      </c>
      <c r="H334" s="6" t="s">
        <v>17</v>
      </c>
      <c r="I334" s="7" t="s">
        <v>18</v>
      </c>
      <c r="J334" s="2" t="s">
        <v>19</v>
      </c>
      <c r="K334" s="3"/>
      <c r="L334" s="2"/>
      <c r="M334" s="3"/>
    </row>
    <row r="335" customFormat="false" ht="15" hidden="false" customHeight="false" outlineLevel="0" collapsed="false">
      <c r="A335" s="2" t="n">
        <v>15</v>
      </c>
      <c r="B335" s="3" t="s">
        <v>406</v>
      </c>
      <c r="C335" s="3" t="s">
        <v>407</v>
      </c>
      <c r="D335" s="2" t="n">
        <v>334</v>
      </c>
      <c r="E335" s="2"/>
      <c r="F335" s="4" t="s">
        <v>410</v>
      </c>
      <c r="G335" s="8" t="s">
        <v>62</v>
      </c>
      <c r="H335" s="6" t="s">
        <v>17</v>
      </c>
      <c r="I335" s="7" t="s">
        <v>18</v>
      </c>
      <c r="J335" s="2" t="s">
        <v>19</v>
      </c>
      <c r="K335" s="3"/>
      <c r="L335" s="2"/>
      <c r="M335" s="3"/>
    </row>
    <row r="336" customFormat="false" ht="15" hidden="false" customHeight="false" outlineLevel="0" collapsed="false">
      <c r="A336" s="2" t="n">
        <v>15</v>
      </c>
      <c r="B336" s="3" t="s">
        <v>406</v>
      </c>
      <c r="C336" s="3" t="s">
        <v>407</v>
      </c>
      <c r="D336" s="2" t="n">
        <v>335</v>
      </c>
      <c r="E336" s="2"/>
      <c r="F336" s="4" t="s">
        <v>411</v>
      </c>
      <c r="G336" s="8" t="s">
        <v>62</v>
      </c>
      <c r="H336" s="6" t="s">
        <v>17</v>
      </c>
      <c r="I336" s="7" t="s">
        <v>18</v>
      </c>
      <c r="J336" s="2" t="s">
        <v>19</v>
      </c>
      <c r="K336" s="3"/>
      <c r="L336" s="2"/>
      <c r="M336" s="3"/>
    </row>
    <row r="337" customFormat="false" ht="15" hidden="false" customHeight="false" outlineLevel="0" collapsed="false">
      <c r="A337" s="2" t="n">
        <v>15</v>
      </c>
      <c r="B337" s="3" t="s">
        <v>406</v>
      </c>
      <c r="C337" s="3" t="s">
        <v>407</v>
      </c>
      <c r="D337" s="2" t="n">
        <v>336</v>
      </c>
      <c r="E337" s="2"/>
      <c r="F337" s="4" t="s">
        <v>412</v>
      </c>
      <c r="G337" s="8" t="s">
        <v>62</v>
      </c>
      <c r="H337" s="6" t="s">
        <v>17</v>
      </c>
      <c r="I337" s="7" t="s">
        <v>18</v>
      </c>
      <c r="J337" s="2" t="s">
        <v>19</v>
      </c>
      <c r="K337" s="3"/>
      <c r="L337" s="2"/>
      <c r="M337" s="3"/>
    </row>
    <row r="338" customFormat="false" ht="15" hidden="false" customHeight="false" outlineLevel="0" collapsed="false">
      <c r="A338" s="2" t="n">
        <v>15</v>
      </c>
      <c r="B338" s="3" t="s">
        <v>406</v>
      </c>
      <c r="C338" s="3" t="s">
        <v>413</v>
      </c>
      <c r="D338" s="2" t="n">
        <v>337</v>
      </c>
      <c r="E338" s="2"/>
      <c r="F338" s="4" t="s">
        <v>414</v>
      </c>
      <c r="G338" s="8" t="s">
        <v>62</v>
      </c>
      <c r="H338" s="6" t="s">
        <v>17</v>
      </c>
      <c r="I338" s="7" t="s">
        <v>18</v>
      </c>
      <c r="J338" s="2" t="s">
        <v>19</v>
      </c>
      <c r="K338" s="3"/>
      <c r="L338" s="2"/>
      <c r="M338" s="3"/>
    </row>
    <row r="339" customFormat="false" ht="15" hidden="false" customHeight="false" outlineLevel="0" collapsed="false">
      <c r="A339" s="2" t="n">
        <v>15</v>
      </c>
      <c r="B339" s="3" t="s">
        <v>406</v>
      </c>
      <c r="C339" s="3" t="s">
        <v>413</v>
      </c>
      <c r="D339" s="2" t="n">
        <v>338</v>
      </c>
      <c r="E339" s="2"/>
      <c r="F339" s="4" t="s">
        <v>415</v>
      </c>
      <c r="G339" s="8" t="s">
        <v>62</v>
      </c>
      <c r="H339" s="6" t="s">
        <v>17</v>
      </c>
      <c r="I339" s="7" t="s">
        <v>18</v>
      </c>
      <c r="J339" s="2" t="s">
        <v>19</v>
      </c>
      <c r="K339" s="3"/>
      <c r="L339" s="2"/>
      <c r="M339" s="3"/>
    </row>
    <row r="340" customFormat="false" ht="15" hidden="false" customHeight="false" outlineLevel="0" collapsed="false">
      <c r="A340" s="2" t="n">
        <v>15</v>
      </c>
      <c r="B340" s="3" t="s">
        <v>406</v>
      </c>
      <c r="C340" s="3" t="s">
        <v>413</v>
      </c>
      <c r="D340" s="2" t="n">
        <v>339</v>
      </c>
      <c r="E340" s="2"/>
      <c r="F340" s="4" t="s">
        <v>416</v>
      </c>
      <c r="G340" s="5" t="s">
        <v>16</v>
      </c>
      <c r="H340" s="6" t="s">
        <v>17</v>
      </c>
      <c r="I340" s="7" t="s">
        <v>18</v>
      </c>
      <c r="J340" s="2" t="s">
        <v>19</v>
      </c>
      <c r="K340" s="3"/>
      <c r="L340" s="2"/>
      <c r="M340" s="3"/>
    </row>
    <row r="341" customFormat="false" ht="15" hidden="false" customHeight="false" outlineLevel="0" collapsed="false">
      <c r="A341" s="2" t="n">
        <v>15</v>
      </c>
      <c r="B341" s="3" t="s">
        <v>406</v>
      </c>
      <c r="C341" s="3" t="s">
        <v>413</v>
      </c>
      <c r="D341" s="2" t="n">
        <v>340</v>
      </c>
      <c r="E341" s="2"/>
      <c r="F341" s="4" t="s">
        <v>417</v>
      </c>
      <c r="G341" s="8" t="s">
        <v>62</v>
      </c>
      <c r="H341" s="6" t="s">
        <v>17</v>
      </c>
      <c r="I341" s="7" t="s">
        <v>18</v>
      </c>
      <c r="J341" s="2" t="s">
        <v>19</v>
      </c>
      <c r="K341" s="3"/>
      <c r="L341" s="2"/>
      <c r="M341" s="3"/>
    </row>
    <row r="342" customFormat="false" ht="15" hidden="false" customHeight="false" outlineLevel="0" collapsed="false">
      <c r="A342" s="2" t="n">
        <v>15</v>
      </c>
      <c r="B342" s="3" t="s">
        <v>406</v>
      </c>
      <c r="C342" s="3" t="s">
        <v>413</v>
      </c>
      <c r="D342" s="2" t="n">
        <v>341</v>
      </c>
      <c r="E342" s="2"/>
      <c r="F342" s="4" t="s">
        <v>418</v>
      </c>
      <c r="G342" s="8" t="s">
        <v>62</v>
      </c>
      <c r="H342" s="6" t="s">
        <v>17</v>
      </c>
      <c r="I342" s="7" t="s">
        <v>18</v>
      </c>
      <c r="J342" s="2" t="s">
        <v>19</v>
      </c>
      <c r="K342" s="3"/>
      <c r="L342" s="2"/>
      <c r="M342" s="3"/>
    </row>
    <row r="343" customFormat="false" ht="15" hidden="false" customHeight="false" outlineLevel="0" collapsed="false">
      <c r="A343" s="2" t="n">
        <v>15</v>
      </c>
      <c r="B343" s="3" t="s">
        <v>406</v>
      </c>
      <c r="C343" s="3" t="s">
        <v>413</v>
      </c>
      <c r="D343" s="2" t="n">
        <v>342</v>
      </c>
      <c r="E343" s="2"/>
      <c r="F343" s="4" t="s">
        <v>419</v>
      </c>
      <c r="G343" s="8" t="s">
        <v>62</v>
      </c>
      <c r="H343" s="6" t="s">
        <v>17</v>
      </c>
      <c r="I343" s="7" t="s">
        <v>18</v>
      </c>
      <c r="J343" s="2" t="s">
        <v>19</v>
      </c>
      <c r="K343" s="3"/>
      <c r="L343" s="2"/>
      <c r="M343" s="3"/>
    </row>
    <row r="344" customFormat="false" ht="15" hidden="false" customHeight="false" outlineLevel="0" collapsed="false">
      <c r="A344" s="2" t="n">
        <v>15</v>
      </c>
      <c r="B344" s="3" t="s">
        <v>406</v>
      </c>
      <c r="C344" s="3" t="s">
        <v>413</v>
      </c>
      <c r="D344" s="2" t="n">
        <v>343</v>
      </c>
      <c r="E344" s="2"/>
      <c r="F344" s="4" t="s">
        <v>420</v>
      </c>
      <c r="G344" s="8" t="s">
        <v>62</v>
      </c>
      <c r="H344" s="6" t="s">
        <v>17</v>
      </c>
      <c r="I344" s="7" t="s">
        <v>18</v>
      </c>
      <c r="J344" s="2" t="s">
        <v>19</v>
      </c>
      <c r="K344" s="3"/>
      <c r="L344" s="2"/>
      <c r="M344" s="3"/>
    </row>
    <row r="345" customFormat="false" ht="15" hidden="false" customHeight="false" outlineLevel="0" collapsed="false">
      <c r="A345" s="2" t="n">
        <v>15</v>
      </c>
      <c r="B345" s="3" t="s">
        <v>406</v>
      </c>
      <c r="C345" s="3" t="s">
        <v>413</v>
      </c>
      <c r="D345" s="2" t="n">
        <v>344</v>
      </c>
      <c r="E345" s="2"/>
      <c r="F345" s="4" t="s">
        <v>421</v>
      </c>
      <c r="G345" s="8" t="s">
        <v>62</v>
      </c>
      <c r="H345" s="6" t="s">
        <v>17</v>
      </c>
      <c r="I345" s="7" t="s">
        <v>18</v>
      </c>
      <c r="J345" s="2" t="s">
        <v>19</v>
      </c>
      <c r="K345" s="3"/>
      <c r="L345" s="2"/>
      <c r="M345" s="3"/>
    </row>
    <row r="346" customFormat="false" ht="15" hidden="false" customHeight="false" outlineLevel="0" collapsed="false">
      <c r="A346" s="2" t="n">
        <v>15</v>
      </c>
      <c r="B346" s="3" t="s">
        <v>406</v>
      </c>
      <c r="C346" s="3" t="s">
        <v>413</v>
      </c>
      <c r="D346" s="2" t="n">
        <v>345</v>
      </c>
      <c r="E346" s="2"/>
      <c r="F346" s="4" t="s">
        <v>422</v>
      </c>
      <c r="G346" s="8" t="s">
        <v>62</v>
      </c>
      <c r="H346" s="6" t="s">
        <v>17</v>
      </c>
      <c r="I346" s="7" t="s">
        <v>18</v>
      </c>
      <c r="J346" s="2" t="s">
        <v>19</v>
      </c>
      <c r="K346" s="3"/>
      <c r="L346" s="2"/>
      <c r="M346" s="3"/>
    </row>
    <row r="347" customFormat="false" ht="15" hidden="false" customHeight="false" outlineLevel="0" collapsed="false">
      <c r="A347" s="2" t="n">
        <v>15</v>
      </c>
      <c r="B347" s="3" t="s">
        <v>406</v>
      </c>
      <c r="C347" s="3" t="s">
        <v>413</v>
      </c>
      <c r="D347" s="2" t="n">
        <v>346</v>
      </c>
      <c r="E347" s="2"/>
      <c r="F347" s="4" t="s">
        <v>423</v>
      </c>
      <c r="G347" s="9" t="s">
        <v>100</v>
      </c>
      <c r="H347" s="6" t="s">
        <v>17</v>
      </c>
      <c r="I347" s="7" t="s">
        <v>18</v>
      </c>
      <c r="J347" s="2" t="s">
        <v>19</v>
      </c>
      <c r="K347" s="3"/>
      <c r="L347" s="2"/>
      <c r="M347" s="3"/>
    </row>
    <row r="348" customFormat="false" ht="15" hidden="false" customHeight="false" outlineLevel="0" collapsed="false">
      <c r="A348" s="2" t="n">
        <v>15</v>
      </c>
      <c r="B348" s="3" t="s">
        <v>406</v>
      </c>
      <c r="C348" s="3" t="s">
        <v>413</v>
      </c>
      <c r="D348" s="2" t="n">
        <v>347</v>
      </c>
      <c r="E348" s="2"/>
      <c r="F348" s="4" t="s">
        <v>424</v>
      </c>
      <c r="G348" s="9" t="s">
        <v>100</v>
      </c>
      <c r="H348" s="6" t="s">
        <v>17</v>
      </c>
      <c r="I348" s="7" t="s">
        <v>18</v>
      </c>
      <c r="J348" s="2" t="s">
        <v>19</v>
      </c>
      <c r="K348" s="3"/>
      <c r="L348" s="2"/>
      <c r="M348" s="3"/>
    </row>
    <row r="349" customFormat="false" ht="15" hidden="false" customHeight="false" outlineLevel="0" collapsed="false">
      <c r="A349" s="2" t="n">
        <v>15</v>
      </c>
      <c r="B349" s="3" t="s">
        <v>406</v>
      </c>
      <c r="C349" s="3" t="s">
        <v>413</v>
      </c>
      <c r="D349" s="2" t="n">
        <v>348</v>
      </c>
      <c r="E349" s="2"/>
      <c r="F349" s="4" t="s">
        <v>425</v>
      </c>
      <c r="G349" s="8" t="s">
        <v>62</v>
      </c>
      <c r="H349" s="6" t="s">
        <v>17</v>
      </c>
      <c r="I349" s="7" t="s">
        <v>18</v>
      </c>
      <c r="J349" s="2" t="s">
        <v>19</v>
      </c>
      <c r="K349" s="3"/>
      <c r="L349" s="2"/>
      <c r="M349" s="3"/>
    </row>
    <row r="350" customFormat="false" ht="15" hidden="false" customHeight="false" outlineLevel="0" collapsed="false">
      <c r="A350" s="2" t="n">
        <v>15</v>
      </c>
      <c r="B350" s="3" t="s">
        <v>406</v>
      </c>
      <c r="C350" s="3" t="s">
        <v>413</v>
      </c>
      <c r="D350" s="2" t="n">
        <v>349</v>
      </c>
      <c r="E350" s="2"/>
      <c r="F350" s="4" t="s">
        <v>426</v>
      </c>
      <c r="G350" s="8" t="s">
        <v>62</v>
      </c>
      <c r="H350" s="6" t="s">
        <v>17</v>
      </c>
      <c r="I350" s="7" t="s">
        <v>18</v>
      </c>
      <c r="J350" s="2" t="s">
        <v>19</v>
      </c>
      <c r="K350" s="3"/>
      <c r="L350" s="2"/>
      <c r="M350" s="3"/>
    </row>
    <row r="351" customFormat="false" ht="15" hidden="false" customHeight="false" outlineLevel="0" collapsed="false">
      <c r="A351" s="2" t="n">
        <v>15</v>
      </c>
      <c r="B351" s="3" t="s">
        <v>406</v>
      </c>
      <c r="C351" s="3" t="s">
        <v>413</v>
      </c>
      <c r="D351" s="2" t="n">
        <v>350</v>
      </c>
      <c r="E351" s="2"/>
      <c r="F351" s="4" t="s">
        <v>427</v>
      </c>
      <c r="G351" s="8" t="s">
        <v>62</v>
      </c>
      <c r="H351" s="6" t="s">
        <v>17</v>
      </c>
      <c r="I351" s="7" t="s">
        <v>18</v>
      </c>
      <c r="J351" s="2" t="s">
        <v>19</v>
      </c>
      <c r="K351" s="3"/>
      <c r="L351" s="2"/>
      <c r="M351" s="3"/>
    </row>
    <row r="352" customFormat="false" ht="15" hidden="false" customHeight="false" outlineLevel="0" collapsed="false">
      <c r="A352" s="2" t="n">
        <v>15</v>
      </c>
      <c r="B352" s="3" t="s">
        <v>406</v>
      </c>
      <c r="C352" s="3" t="s">
        <v>428</v>
      </c>
      <c r="D352" s="2" t="n">
        <v>351</v>
      </c>
      <c r="E352" s="2"/>
      <c r="F352" s="4" t="s">
        <v>429</v>
      </c>
      <c r="G352" s="8" t="s">
        <v>62</v>
      </c>
      <c r="H352" s="6" t="s">
        <v>17</v>
      </c>
      <c r="I352" s="7" t="s">
        <v>18</v>
      </c>
      <c r="J352" s="2" t="s">
        <v>19</v>
      </c>
      <c r="K352" s="3"/>
      <c r="L352" s="2"/>
      <c r="M352" s="3"/>
    </row>
    <row r="353" customFormat="false" ht="15" hidden="false" customHeight="false" outlineLevel="0" collapsed="false">
      <c r="A353" s="2" t="n">
        <v>15</v>
      </c>
      <c r="B353" s="3" t="s">
        <v>406</v>
      </c>
      <c r="C353" s="3" t="s">
        <v>428</v>
      </c>
      <c r="D353" s="2" t="n">
        <v>352</v>
      </c>
      <c r="E353" s="2"/>
      <c r="F353" s="4" t="s">
        <v>430</v>
      </c>
      <c r="G353" s="8" t="s">
        <v>62</v>
      </c>
      <c r="H353" s="6" t="s">
        <v>17</v>
      </c>
      <c r="I353" s="7" t="s">
        <v>18</v>
      </c>
      <c r="J353" s="2" t="s">
        <v>19</v>
      </c>
      <c r="K353" s="3"/>
      <c r="L353" s="2"/>
      <c r="M353" s="3"/>
    </row>
    <row r="354" customFormat="false" ht="15" hidden="false" customHeight="false" outlineLevel="0" collapsed="false">
      <c r="A354" s="2" t="n">
        <v>15</v>
      </c>
      <c r="B354" s="3" t="s">
        <v>406</v>
      </c>
      <c r="C354" s="3" t="s">
        <v>428</v>
      </c>
      <c r="D354" s="2" t="n">
        <v>353</v>
      </c>
      <c r="E354" s="2"/>
      <c r="F354" s="4" t="s">
        <v>431</v>
      </c>
      <c r="G354" s="8" t="s">
        <v>62</v>
      </c>
      <c r="H354" s="6" t="s">
        <v>17</v>
      </c>
      <c r="I354" s="7" t="s">
        <v>18</v>
      </c>
      <c r="J354" s="2" t="s">
        <v>19</v>
      </c>
      <c r="K354" s="3"/>
      <c r="L354" s="2"/>
      <c r="M354" s="3"/>
    </row>
    <row r="355" customFormat="false" ht="15" hidden="false" customHeight="false" outlineLevel="0" collapsed="false">
      <c r="A355" s="2" t="n">
        <v>15</v>
      </c>
      <c r="B355" s="3" t="s">
        <v>406</v>
      </c>
      <c r="C355" s="3" t="s">
        <v>428</v>
      </c>
      <c r="D355" s="2" t="n">
        <v>354</v>
      </c>
      <c r="E355" s="2"/>
      <c r="F355" s="4" t="s">
        <v>432</v>
      </c>
      <c r="G355" s="8" t="s">
        <v>62</v>
      </c>
      <c r="H355" s="6" t="s">
        <v>17</v>
      </c>
      <c r="I355" s="7" t="s">
        <v>18</v>
      </c>
      <c r="J355" s="2" t="s">
        <v>19</v>
      </c>
      <c r="K355" s="3"/>
      <c r="L355" s="2"/>
      <c r="M355" s="3"/>
    </row>
    <row r="356" customFormat="false" ht="15" hidden="false" customHeight="false" outlineLevel="0" collapsed="false">
      <c r="A356" s="2" t="n">
        <v>15</v>
      </c>
      <c r="B356" s="3" t="s">
        <v>406</v>
      </c>
      <c r="C356" s="3" t="s">
        <v>428</v>
      </c>
      <c r="D356" s="2" t="n">
        <v>355</v>
      </c>
      <c r="E356" s="2"/>
      <c r="F356" s="4" t="s">
        <v>433</v>
      </c>
      <c r="G356" s="8" t="s">
        <v>62</v>
      </c>
      <c r="H356" s="6" t="s">
        <v>17</v>
      </c>
      <c r="I356" s="7" t="s">
        <v>18</v>
      </c>
      <c r="J356" s="2" t="s">
        <v>19</v>
      </c>
      <c r="K356" s="3"/>
      <c r="L356" s="2"/>
      <c r="M356" s="3"/>
    </row>
    <row r="357" customFormat="false" ht="15" hidden="false" customHeight="false" outlineLevel="0" collapsed="false">
      <c r="A357" s="2" t="n">
        <v>15</v>
      </c>
      <c r="B357" s="3" t="s">
        <v>406</v>
      </c>
      <c r="C357" s="3" t="s">
        <v>428</v>
      </c>
      <c r="D357" s="2" t="n">
        <v>356</v>
      </c>
      <c r="E357" s="2"/>
      <c r="F357" s="4" t="s">
        <v>434</v>
      </c>
      <c r="G357" s="8" t="s">
        <v>62</v>
      </c>
      <c r="H357" s="6" t="s">
        <v>17</v>
      </c>
      <c r="I357" s="7" t="s">
        <v>18</v>
      </c>
      <c r="J357" s="2" t="s">
        <v>19</v>
      </c>
      <c r="K357" s="3"/>
      <c r="L357" s="2"/>
      <c r="M357" s="3"/>
    </row>
    <row r="358" customFormat="false" ht="15" hidden="false" customHeight="false" outlineLevel="0" collapsed="false">
      <c r="A358" s="2" t="n">
        <v>15</v>
      </c>
      <c r="B358" s="3" t="s">
        <v>406</v>
      </c>
      <c r="C358" s="3" t="s">
        <v>428</v>
      </c>
      <c r="D358" s="2" t="n">
        <v>357</v>
      </c>
      <c r="E358" s="2"/>
      <c r="F358" s="4" t="s">
        <v>435</v>
      </c>
      <c r="G358" s="9" t="s">
        <v>100</v>
      </c>
      <c r="H358" s="6" t="s">
        <v>17</v>
      </c>
      <c r="I358" s="7" t="s">
        <v>18</v>
      </c>
      <c r="J358" s="2" t="s">
        <v>19</v>
      </c>
      <c r="K358" s="3"/>
      <c r="L358" s="2"/>
      <c r="M358" s="3"/>
    </row>
    <row r="359" customFormat="false" ht="15" hidden="false" customHeight="false" outlineLevel="0" collapsed="false">
      <c r="A359" s="2" t="n">
        <v>15</v>
      </c>
      <c r="B359" s="3" t="s">
        <v>406</v>
      </c>
      <c r="C359" s="3" t="s">
        <v>436</v>
      </c>
      <c r="D359" s="2" t="n">
        <v>358</v>
      </c>
      <c r="E359" s="2"/>
      <c r="F359" s="4" t="s">
        <v>437</v>
      </c>
      <c r="G359" s="8" t="s">
        <v>62</v>
      </c>
      <c r="H359" s="6" t="s">
        <v>17</v>
      </c>
      <c r="I359" s="7" t="s">
        <v>18</v>
      </c>
      <c r="J359" s="2" t="s">
        <v>19</v>
      </c>
      <c r="K359" s="3"/>
      <c r="L359" s="2"/>
      <c r="M359" s="3"/>
    </row>
    <row r="360" customFormat="false" ht="15" hidden="false" customHeight="false" outlineLevel="0" collapsed="false">
      <c r="A360" s="2" t="n">
        <v>15</v>
      </c>
      <c r="B360" s="3" t="s">
        <v>406</v>
      </c>
      <c r="C360" s="3" t="s">
        <v>436</v>
      </c>
      <c r="D360" s="2" t="n">
        <v>359</v>
      </c>
      <c r="E360" s="2"/>
      <c r="F360" s="4" t="s">
        <v>438</v>
      </c>
      <c r="G360" s="8" t="s">
        <v>62</v>
      </c>
      <c r="H360" s="6" t="s">
        <v>17</v>
      </c>
      <c r="I360" s="7" t="s">
        <v>18</v>
      </c>
      <c r="J360" s="2" t="s">
        <v>19</v>
      </c>
      <c r="K360" s="3"/>
      <c r="L360" s="2"/>
      <c r="M360" s="3"/>
    </row>
    <row r="361" customFormat="false" ht="15" hidden="false" customHeight="false" outlineLevel="0" collapsed="false">
      <c r="A361" s="2" t="n">
        <v>15</v>
      </c>
      <c r="B361" s="3" t="s">
        <v>406</v>
      </c>
      <c r="C361" s="3" t="s">
        <v>436</v>
      </c>
      <c r="D361" s="2" t="n">
        <v>360</v>
      </c>
      <c r="E361" s="2"/>
      <c r="F361" s="4" t="s">
        <v>439</v>
      </c>
      <c r="G361" s="8" t="s">
        <v>62</v>
      </c>
      <c r="H361" s="6" t="s">
        <v>17</v>
      </c>
      <c r="I361" s="7" t="s">
        <v>18</v>
      </c>
      <c r="J361" s="2" t="s">
        <v>19</v>
      </c>
      <c r="K361" s="3"/>
      <c r="L361" s="2"/>
      <c r="M361" s="3"/>
    </row>
    <row r="362" customFormat="false" ht="15" hidden="false" customHeight="false" outlineLevel="0" collapsed="false">
      <c r="A362" s="2" t="n">
        <v>15</v>
      </c>
      <c r="B362" s="3" t="s">
        <v>406</v>
      </c>
      <c r="C362" s="3" t="s">
        <v>436</v>
      </c>
      <c r="D362" s="2" t="n">
        <v>361</v>
      </c>
      <c r="E362" s="2"/>
      <c r="F362" s="4" t="s">
        <v>440</v>
      </c>
      <c r="G362" s="8" t="s">
        <v>62</v>
      </c>
      <c r="H362" s="6" t="s">
        <v>17</v>
      </c>
      <c r="I362" s="7" t="s">
        <v>18</v>
      </c>
      <c r="J362" s="2" t="s">
        <v>19</v>
      </c>
      <c r="K362" s="3"/>
      <c r="L362" s="2"/>
      <c r="M362" s="3"/>
    </row>
    <row r="363" customFormat="false" ht="15" hidden="false" customHeight="false" outlineLevel="0" collapsed="false">
      <c r="A363" s="2" t="n">
        <v>15</v>
      </c>
      <c r="B363" s="3" t="s">
        <v>406</v>
      </c>
      <c r="C363" s="3" t="s">
        <v>436</v>
      </c>
      <c r="D363" s="2" t="n">
        <v>362</v>
      </c>
      <c r="E363" s="2"/>
      <c r="F363" s="4" t="s">
        <v>441</v>
      </c>
      <c r="G363" s="8" t="s">
        <v>62</v>
      </c>
      <c r="H363" s="6" t="s">
        <v>17</v>
      </c>
      <c r="I363" s="7" t="s">
        <v>18</v>
      </c>
      <c r="J363" s="2" t="s">
        <v>19</v>
      </c>
      <c r="K363" s="3"/>
      <c r="L363" s="2"/>
      <c r="M363" s="3"/>
    </row>
    <row r="364" customFormat="false" ht="15" hidden="false" customHeight="false" outlineLevel="0" collapsed="false">
      <c r="A364" s="2" t="n">
        <v>15</v>
      </c>
      <c r="B364" s="3" t="s">
        <v>406</v>
      </c>
      <c r="C364" s="3" t="s">
        <v>436</v>
      </c>
      <c r="D364" s="2" t="n">
        <v>363</v>
      </c>
      <c r="E364" s="2"/>
      <c r="F364" s="4" t="s">
        <v>442</v>
      </c>
      <c r="G364" s="8" t="s">
        <v>62</v>
      </c>
      <c r="H364" s="6" t="s">
        <v>17</v>
      </c>
      <c r="I364" s="7" t="s">
        <v>18</v>
      </c>
      <c r="J364" s="2" t="s">
        <v>19</v>
      </c>
      <c r="K364" s="3"/>
      <c r="L364" s="2"/>
      <c r="M364" s="3"/>
    </row>
    <row r="365" customFormat="false" ht="15" hidden="false" customHeight="false" outlineLevel="0" collapsed="false">
      <c r="A365" s="2" t="n">
        <v>15</v>
      </c>
      <c r="B365" s="3" t="s">
        <v>406</v>
      </c>
      <c r="C365" s="3" t="s">
        <v>436</v>
      </c>
      <c r="D365" s="2" t="n">
        <v>364</v>
      </c>
      <c r="E365" s="2"/>
      <c r="F365" s="4" t="s">
        <v>443</v>
      </c>
      <c r="G365" s="8" t="s">
        <v>62</v>
      </c>
      <c r="H365" s="6" t="s">
        <v>17</v>
      </c>
      <c r="I365" s="7" t="s">
        <v>18</v>
      </c>
      <c r="J365" s="2" t="s">
        <v>19</v>
      </c>
      <c r="K365" s="3"/>
      <c r="L365" s="2"/>
      <c r="M365" s="3"/>
    </row>
    <row r="366" customFormat="false" ht="15" hidden="false" customHeight="false" outlineLevel="0" collapsed="false">
      <c r="A366" s="2" t="n">
        <v>15</v>
      </c>
      <c r="B366" s="3" t="s">
        <v>406</v>
      </c>
      <c r="C366" s="3" t="s">
        <v>436</v>
      </c>
      <c r="D366" s="2" t="n">
        <v>365</v>
      </c>
      <c r="E366" s="2"/>
      <c r="F366" s="4" t="s">
        <v>444</v>
      </c>
      <c r="G366" s="9" t="s">
        <v>100</v>
      </c>
      <c r="H366" s="6" t="s">
        <v>17</v>
      </c>
      <c r="I366" s="7" t="s">
        <v>18</v>
      </c>
      <c r="J366" s="2" t="s">
        <v>19</v>
      </c>
      <c r="K366" s="3"/>
      <c r="L366" s="2"/>
      <c r="M366" s="3"/>
    </row>
    <row r="367" customFormat="false" ht="15" hidden="false" customHeight="false" outlineLevel="0" collapsed="false">
      <c r="A367" s="2" t="n">
        <v>15</v>
      </c>
      <c r="B367" s="3" t="s">
        <v>406</v>
      </c>
      <c r="C367" s="3" t="s">
        <v>436</v>
      </c>
      <c r="D367" s="2" t="n">
        <v>366</v>
      </c>
      <c r="E367" s="2"/>
      <c r="F367" s="4" t="s">
        <v>445</v>
      </c>
      <c r="G367" s="8" t="s">
        <v>62</v>
      </c>
      <c r="H367" s="6" t="s">
        <v>17</v>
      </c>
      <c r="I367" s="7" t="s">
        <v>18</v>
      </c>
      <c r="J367" s="2" t="s">
        <v>19</v>
      </c>
      <c r="K367" s="3"/>
      <c r="L367" s="2"/>
      <c r="M367" s="3"/>
    </row>
    <row r="368" customFormat="false" ht="15" hidden="false" customHeight="false" outlineLevel="0" collapsed="false">
      <c r="A368" s="2" t="n">
        <v>15</v>
      </c>
      <c r="B368" s="3" t="s">
        <v>406</v>
      </c>
      <c r="C368" s="3" t="s">
        <v>436</v>
      </c>
      <c r="D368" s="2" t="n">
        <v>367</v>
      </c>
      <c r="E368" s="2"/>
      <c r="F368" s="4" t="s">
        <v>446</v>
      </c>
      <c r="G368" s="8" t="s">
        <v>62</v>
      </c>
      <c r="H368" s="6" t="s">
        <v>17</v>
      </c>
      <c r="I368" s="7" t="s">
        <v>18</v>
      </c>
      <c r="J368" s="2" t="s">
        <v>19</v>
      </c>
      <c r="K368" s="3"/>
      <c r="L368" s="2"/>
      <c r="M368" s="3"/>
    </row>
    <row r="369" customFormat="false" ht="15" hidden="false" customHeight="false" outlineLevel="0" collapsed="false">
      <c r="A369" s="2" t="n">
        <v>15</v>
      </c>
      <c r="B369" s="3" t="s">
        <v>406</v>
      </c>
      <c r="C369" s="3" t="s">
        <v>436</v>
      </c>
      <c r="D369" s="2" t="n">
        <v>368</v>
      </c>
      <c r="E369" s="2"/>
      <c r="F369" s="4" t="s">
        <v>447</v>
      </c>
      <c r="G369" s="8" t="s">
        <v>62</v>
      </c>
      <c r="H369" s="6" t="s">
        <v>17</v>
      </c>
      <c r="I369" s="7" t="s">
        <v>18</v>
      </c>
      <c r="J369" s="2" t="s">
        <v>19</v>
      </c>
      <c r="K369" s="3"/>
      <c r="L369" s="2"/>
      <c r="M369" s="3"/>
    </row>
    <row r="370" customFormat="false" ht="15" hidden="false" customHeight="false" outlineLevel="0" collapsed="false">
      <c r="A370" s="2" t="n">
        <v>15</v>
      </c>
      <c r="B370" s="3" t="s">
        <v>406</v>
      </c>
      <c r="C370" s="3" t="s">
        <v>436</v>
      </c>
      <c r="D370" s="2" t="n">
        <v>369</v>
      </c>
      <c r="E370" s="2"/>
      <c r="F370" s="4" t="s">
        <v>448</v>
      </c>
      <c r="G370" s="8" t="s">
        <v>62</v>
      </c>
      <c r="H370" s="6" t="s">
        <v>17</v>
      </c>
      <c r="I370" s="7" t="s">
        <v>18</v>
      </c>
      <c r="J370" s="2" t="s">
        <v>19</v>
      </c>
      <c r="K370" s="3"/>
      <c r="L370" s="2"/>
      <c r="M370" s="3"/>
    </row>
    <row r="371" customFormat="false" ht="15" hidden="false" customHeight="false" outlineLevel="0" collapsed="false">
      <c r="A371" s="2" t="n">
        <v>15</v>
      </c>
      <c r="B371" s="3" t="s">
        <v>406</v>
      </c>
      <c r="C371" s="3" t="s">
        <v>436</v>
      </c>
      <c r="D371" s="2" t="n">
        <v>370</v>
      </c>
      <c r="E371" s="2"/>
      <c r="F371" s="4" t="s">
        <v>449</v>
      </c>
      <c r="G371" s="8" t="s">
        <v>62</v>
      </c>
      <c r="H371" s="6" t="s">
        <v>17</v>
      </c>
      <c r="I371" s="7" t="s">
        <v>18</v>
      </c>
      <c r="J371" s="2" t="s">
        <v>19</v>
      </c>
      <c r="K371" s="3"/>
      <c r="L371" s="2"/>
      <c r="M371" s="3"/>
    </row>
    <row r="372" customFormat="false" ht="15" hidden="false" customHeight="false" outlineLevel="0" collapsed="false">
      <c r="A372" s="2" t="n">
        <v>15</v>
      </c>
      <c r="B372" s="3" t="s">
        <v>406</v>
      </c>
      <c r="C372" s="3" t="s">
        <v>450</v>
      </c>
      <c r="D372" s="2" t="n">
        <v>371</v>
      </c>
      <c r="E372" s="2"/>
      <c r="F372" s="4" t="s">
        <v>451</v>
      </c>
      <c r="G372" s="8" t="s">
        <v>62</v>
      </c>
      <c r="H372" s="6" t="s">
        <v>17</v>
      </c>
      <c r="I372" s="7" t="s">
        <v>18</v>
      </c>
      <c r="J372" s="2" t="s">
        <v>19</v>
      </c>
      <c r="K372" s="3"/>
      <c r="L372" s="2"/>
      <c r="M372" s="3"/>
    </row>
    <row r="373" customFormat="false" ht="15" hidden="false" customHeight="false" outlineLevel="0" collapsed="false">
      <c r="A373" s="2" t="n">
        <v>15</v>
      </c>
      <c r="B373" s="3" t="s">
        <v>406</v>
      </c>
      <c r="C373" s="3" t="s">
        <v>450</v>
      </c>
      <c r="D373" s="2" t="n">
        <v>372</v>
      </c>
      <c r="E373" s="2"/>
      <c r="F373" s="4" t="s">
        <v>452</v>
      </c>
      <c r="G373" s="8" t="s">
        <v>62</v>
      </c>
      <c r="H373" s="6" t="s">
        <v>17</v>
      </c>
      <c r="I373" s="7" t="s">
        <v>18</v>
      </c>
      <c r="J373" s="2" t="s">
        <v>19</v>
      </c>
      <c r="K373" s="3"/>
      <c r="L373" s="2"/>
      <c r="M373" s="3"/>
    </row>
    <row r="374" customFormat="false" ht="15" hidden="false" customHeight="false" outlineLevel="0" collapsed="false">
      <c r="A374" s="2" t="n">
        <v>15</v>
      </c>
      <c r="B374" s="3" t="s">
        <v>406</v>
      </c>
      <c r="C374" s="3" t="s">
        <v>450</v>
      </c>
      <c r="D374" s="2" t="n">
        <v>373</v>
      </c>
      <c r="E374" s="2"/>
      <c r="F374" s="4" t="s">
        <v>453</v>
      </c>
      <c r="G374" s="9" t="s">
        <v>100</v>
      </c>
      <c r="H374" s="6" t="s">
        <v>17</v>
      </c>
      <c r="I374" s="7" t="s">
        <v>18</v>
      </c>
      <c r="J374" s="2" t="s">
        <v>19</v>
      </c>
      <c r="K374" s="3"/>
      <c r="L374" s="2"/>
      <c r="M374" s="3"/>
    </row>
    <row r="375" customFormat="false" ht="15" hidden="false" customHeight="false" outlineLevel="0" collapsed="false">
      <c r="A375" s="2" t="n">
        <v>15</v>
      </c>
      <c r="B375" s="3" t="s">
        <v>406</v>
      </c>
      <c r="C375" s="3" t="s">
        <v>450</v>
      </c>
      <c r="D375" s="2" t="n">
        <v>374</v>
      </c>
      <c r="E375" s="2"/>
      <c r="F375" s="4" t="s">
        <v>454</v>
      </c>
      <c r="G375" s="8" t="s">
        <v>62</v>
      </c>
      <c r="H375" s="6" t="s">
        <v>17</v>
      </c>
      <c r="I375" s="7" t="s">
        <v>18</v>
      </c>
      <c r="J375" s="2" t="s">
        <v>19</v>
      </c>
      <c r="K375" s="3"/>
      <c r="L375" s="2"/>
      <c r="M375" s="3"/>
    </row>
    <row r="376" customFormat="false" ht="15" hidden="false" customHeight="false" outlineLevel="0" collapsed="false">
      <c r="A376" s="2" t="n">
        <v>15</v>
      </c>
      <c r="B376" s="3" t="s">
        <v>406</v>
      </c>
      <c r="C376" s="3" t="s">
        <v>450</v>
      </c>
      <c r="D376" s="2" t="n">
        <v>375</v>
      </c>
      <c r="E376" s="2"/>
      <c r="F376" s="4" t="s">
        <v>455</v>
      </c>
      <c r="G376" s="8" t="s">
        <v>62</v>
      </c>
      <c r="H376" s="6" t="s">
        <v>17</v>
      </c>
      <c r="I376" s="7" t="s">
        <v>18</v>
      </c>
      <c r="J376" s="2" t="s">
        <v>19</v>
      </c>
      <c r="K376" s="3"/>
      <c r="L376" s="2"/>
      <c r="M376" s="3"/>
    </row>
    <row r="377" customFormat="false" ht="15" hidden="false" customHeight="false" outlineLevel="0" collapsed="false">
      <c r="A377" s="2" t="n">
        <v>15</v>
      </c>
      <c r="B377" s="3" t="s">
        <v>406</v>
      </c>
      <c r="C377" s="3" t="s">
        <v>450</v>
      </c>
      <c r="D377" s="2" t="n">
        <v>376</v>
      </c>
      <c r="E377" s="2"/>
      <c r="F377" s="4" t="s">
        <v>456</v>
      </c>
      <c r="G377" s="8" t="s">
        <v>62</v>
      </c>
      <c r="H377" s="6" t="s">
        <v>17</v>
      </c>
      <c r="I377" s="7" t="s">
        <v>18</v>
      </c>
      <c r="J377" s="2" t="s">
        <v>19</v>
      </c>
      <c r="K377" s="3"/>
      <c r="L377" s="2"/>
      <c r="M377" s="3"/>
    </row>
    <row r="378" customFormat="false" ht="15" hidden="false" customHeight="false" outlineLevel="0" collapsed="false">
      <c r="A378" s="2" t="n">
        <v>15</v>
      </c>
      <c r="B378" s="3" t="s">
        <v>406</v>
      </c>
      <c r="C378" s="3" t="s">
        <v>450</v>
      </c>
      <c r="D378" s="2" t="n">
        <v>377</v>
      </c>
      <c r="E378" s="2"/>
      <c r="F378" s="4" t="s">
        <v>457</v>
      </c>
      <c r="G378" s="9" t="s">
        <v>100</v>
      </c>
      <c r="H378" s="6" t="s">
        <v>17</v>
      </c>
      <c r="I378" s="7" t="s">
        <v>18</v>
      </c>
      <c r="J378" s="2" t="s">
        <v>19</v>
      </c>
      <c r="K378" s="3"/>
      <c r="L378" s="2"/>
      <c r="M378" s="3"/>
    </row>
    <row r="379" customFormat="false" ht="15" hidden="false" customHeight="false" outlineLevel="0" collapsed="false">
      <c r="A379" s="2" t="n">
        <v>15</v>
      </c>
      <c r="B379" s="3" t="s">
        <v>406</v>
      </c>
      <c r="C379" s="3" t="s">
        <v>450</v>
      </c>
      <c r="D379" s="2" t="n">
        <v>378</v>
      </c>
      <c r="E379" s="2"/>
      <c r="F379" s="4" t="s">
        <v>458</v>
      </c>
      <c r="G379" s="9" t="s">
        <v>100</v>
      </c>
      <c r="H379" s="6" t="s">
        <v>17</v>
      </c>
      <c r="I379" s="7" t="s">
        <v>18</v>
      </c>
      <c r="J379" s="2" t="s">
        <v>19</v>
      </c>
      <c r="K379" s="3"/>
      <c r="L379" s="2"/>
      <c r="M379" s="3"/>
    </row>
    <row r="380" customFormat="false" ht="15" hidden="false" customHeight="false" outlineLevel="0" collapsed="false">
      <c r="A380" s="2" t="n">
        <v>15</v>
      </c>
      <c r="B380" s="3" t="s">
        <v>406</v>
      </c>
      <c r="C380" s="3" t="s">
        <v>450</v>
      </c>
      <c r="D380" s="2" t="n">
        <v>379</v>
      </c>
      <c r="E380" s="2"/>
      <c r="F380" s="4" t="s">
        <v>459</v>
      </c>
      <c r="G380" s="9" t="s">
        <v>100</v>
      </c>
      <c r="H380" s="6" t="s">
        <v>17</v>
      </c>
      <c r="I380" s="7" t="s">
        <v>18</v>
      </c>
      <c r="J380" s="2" t="s">
        <v>19</v>
      </c>
      <c r="K380" s="3"/>
      <c r="L380" s="2"/>
      <c r="M380" s="3"/>
    </row>
    <row r="381" customFormat="false" ht="15" hidden="false" customHeight="false" outlineLevel="0" collapsed="false">
      <c r="A381" s="2" t="n">
        <v>15</v>
      </c>
      <c r="B381" s="3" t="s">
        <v>406</v>
      </c>
      <c r="C381" s="3" t="s">
        <v>450</v>
      </c>
      <c r="D381" s="2" t="n">
        <v>380</v>
      </c>
      <c r="E381" s="2"/>
      <c r="F381" s="4" t="s">
        <v>460</v>
      </c>
      <c r="G381" s="9" t="s">
        <v>100</v>
      </c>
      <c r="H381" s="6" t="s">
        <v>17</v>
      </c>
      <c r="I381" s="7" t="s">
        <v>18</v>
      </c>
      <c r="J381" s="2" t="s">
        <v>19</v>
      </c>
      <c r="K381" s="3"/>
      <c r="L381" s="2"/>
      <c r="M381" s="3"/>
    </row>
    <row r="382" customFormat="false" ht="15" hidden="false" customHeight="false" outlineLevel="0" collapsed="false">
      <c r="A382" s="2" t="n">
        <v>15</v>
      </c>
      <c r="B382" s="3" t="s">
        <v>406</v>
      </c>
      <c r="C382" s="3" t="s">
        <v>461</v>
      </c>
      <c r="D382" s="2" t="n">
        <v>381</v>
      </c>
      <c r="E382" s="2"/>
      <c r="F382" s="4" t="s">
        <v>462</v>
      </c>
      <c r="G382" s="9" t="s">
        <v>100</v>
      </c>
      <c r="H382" s="6" t="s">
        <v>17</v>
      </c>
      <c r="I382" s="7" t="s">
        <v>18</v>
      </c>
      <c r="J382" s="2" t="s">
        <v>19</v>
      </c>
      <c r="K382" s="3"/>
      <c r="L382" s="2"/>
      <c r="M382" s="3"/>
    </row>
    <row r="383" customFormat="false" ht="15" hidden="false" customHeight="false" outlineLevel="0" collapsed="false">
      <c r="A383" s="2" t="n">
        <v>15</v>
      </c>
      <c r="B383" s="3" t="s">
        <v>406</v>
      </c>
      <c r="C383" s="3" t="s">
        <v>461</v>
      </c>
      <c r="D383" s="2" t="n">
        <v>382</v>
      </c>
      <c r="E383" s="2"/>
      <c r="F383" s="4" t="s">
        <v>463</v>
      </c>
      <c r="G383" s="9" t="s">
        <v>100</v>
      </c>
      <c r="H383" s="6" t="s">
        <v>17</v>
      </c>
      <c r="I383" s="7" t="s">
        <v>18</v>
      </c>
      <c r="J383" s="2" t="s">
        <v>19</v>
      </c>
      <c r="K383" s="3"/>
      <c r="L383" s="2"/>
      <c r="M383" s="3"/>
    </row>
    <row r="384" customFormat="false" ht="15" hidden="false" customHeight="false" outlineLevel="0" collapsed="false">
      <c r="A384" s="2" t="n">
        <v>15</v>
      </c>
      <c r="B384" s="3" t="s">
        <v>406</v>
      </c>
      <c r="C384" s="3" t="s">
        <v>461</v>
      </c>
      <c r="D384" s="2" t="n">
        <v>383</v>
      </c>
      <c r="E384" s="2"/>
      <c r="F384" s="4" t="s">
        <v>464</v>
      </c>
      <c r="G384" s="9" t="s">
        <v>100</v>
      </c>
      <c r="H384" s="6" t="s">
        <v>17</v>
      </c>
      <c r="I384" s="7" t="s">
        <v>18</v>
      </c>
      <c r="J384" s="2" t="s">
        <v>19</v>
      </c>
      <c r="K384" s="3"/>
      <c r="L384" s="2"/>
      <c r="M384" s="3"/>
    </row>
    <row r="385" customFormat="false" ht="15" hidden="false" customHeight="false" outlineLevel="0" collapsed="false">
      <c r="A385" s="2" t="n">
        <v>16</v>
      </c>
      <c r="B385" s="3" t="s">
        <v>465</v>
      </c>
      <c r="C385" s="3" t="s">
        <v>466</v>
      </c>
      <c r="D385" s="2" t="n">
        <v>384</v>
      </c>
      <c r="E385" s="2"/>
      <c r="F385" s="4" t="s">
        <v>467</v>
      </c>
      <c r="G385" s="5" t="s">
        <v>16</v>
      </c>
      <c r="H385" s="6" t="s">
        <v>17</v>
      </c>
      <c r="I385" s="7" t="s">
        <v>18</v>
      </c>
      <c r="J385" s="2" t="s">
        <v>19</v>
      </c>
      <c r="K385" s="3"/>
      <c r="L385" s="2"/>
      <c r="M385" s="3"/>
    </row>
    <row r="386" customFormat="false" ht="15" hidden="false" customHeight="false" outlineLevel="0" collapsed="false">
      <c r="A386" s="2" t="n">
        <v>16</v>
      </c>
      <c r="B386" s="3" t="s">
        <v>465</v>
      </c>
      <c r="C386" s="3" t="s">
        <v>468</v>
      </c>
      <c r="D386" s="2" t="n">
        <v>385</v>
      </c>
      <c r="E386" s="2"/>
      <c r="F386" s="4" t="s">
        <v>469</v>
      </c>
      <c r="G386" s="5" t="s">
        <v>16</v>
      </c>
      <c r="H386" s="6" t="s">
        <v>17</v>
      </c>
      <c r="I386" s="7" t="s">
        <v>18</v>
      </c>
      <c r="J386" s="2" t="s">
        <v>19</v>
      </c>
      <c r="K386" s="3"/>
      <c r="L386" s="2"/>
      <c r="M386" s="3"/>
    </row>
    <row r="387" customFormat="false" ht="15" hidden="false" customHeight="false" outlineLevel="0" collapsed="false">
      <c r="A387" s="2" t="n">
        <v>16</v>
      </c>
      <c r="B387" s="3" t="s">
        <v>465</v>
      </c>
      <c r="C387" s="3" t="s">
        <v>468</v>
      </c>
      <c r="D387" s="2" t="n">
        <v>386</v>
      </c>
      <c r="E387" s="2"/>
      <c r="F387" s="4" t="s">
        <v>470</v>
      </c>
      <c r="G387" s="8" t="s">
        <v>62</v>
      </c>
      <c r="H387" s="6" t="s">
        <v>17</v>
      </c>
      <c r="I387" s="7" t="s">
        <v>18</v>
      </c>
      <c r="J387" s="2" t="s">
        <v>19</v>
      </c>
      <c r="K387" s="3"/>
      <c r="L387" s="2"/>
      <c r="M387" s="3"/>
    </row>
    <row r="388" customFormat="false" ht="15" hidden="false" customHeight="false" outlineLevel="0" collapsed="false">
      <c r="A388" s="2" t="n">
        <v>16</v>
      </c>
      <c r="B388" s="3" t="s">
        <v>465</v>
      </c>
      <c r="C388" s="3" t="s">
        <v>468</v>
      </c>
      <c r="D388" s="2" t="n">
        <v>387</v>
      </c>
      <c r="E388" s="2"/>
      <c r="F388" s="4" t="s">
        <v>471</v>
      </c>
      <c r="G388" s="8" t="s">
        <v>62</v>
      </c>
      <c r="H388" s="6" t="s">
        <v>17</v>
      </c>
      <c r="I388" s="7" t="s">
        <v>18</v>
      </c>
      <c r="J388" s="2" t="s">
        <v>19</v>
      </c>
      <c r="K388" s="3"/>
      <c r="L388" s="2"/>
      <c r="M388" s="3"/>
    </row>
    <row r="389" customFormat="false" ht="15" hidden="false" customHeight="false" outlineLevel="0" collapsed="false">
      <c r="A389" s="2" t="n">
        <v>16</v>
      </c>
      <c r="B389" s="3" t="s">
        <v>465</v>
      </c>
      <c r="C389" s="3" t="s">
        <v>468</v>
      </c>
      <c r="D389" s="2" t="n">
        <v>388</v>
      </c>
      <c r="E389" s="2"/>
      <c r="F389" s="4" t="s">
        <v>472</v>
      </c>
      <c r="G389" s="8" t="s">
        <v>62</v>
      </c>
      <c r="H389" s="6" t="s">
        <v>17</v>
      </c>
      <c r="I389" s="7" t="s">
        <v>18</v>
      </c>
      <c r="J389" s="2" t="s">
        <v>19</v>
      </c>
      <c r="K389" s="3"/>
      <c r="L389" s="2"/>
      <c r="M389" s="3"/>
    </row>
    <row r="390" customFormat="false" ht="15" hidden="false" customHeight="false" outlineLevel="0" collapsed="false">
      <c r="A390" s="2" t="n">
        <v>16</v>
      </c>
      <c r="B390" s="3" t="s">
        <v>465</v>
      </c>
      <c r="C390" s="3" t="s">
        <v>468</v>
      </c>
      <c r="D390" s="2" t="n">
        <v>389</v>
      </c>
      <c r="E390" s="2"/>
      <c r="F390" s="4" t="s">
        <v>473</v>
      </c>
      <c r="G390" s="8" t="s">
        <v>62</v>
      </c>
      <c r="H390" s="6" t="s">
        <v>17</v>
      </c>
      <c r="I390" s="7" t="s">
        <v>18</v>
      </c>
      <c r="J390" s="2" t="s">
        <v>19</v>
      </c>
      <c r="K390" s="3"/>
      <c r="L390" s="2"/>
      <c r="M390" s="3"/>
    </row>
    <row r="391" customFormat="false" ht="15" hidden="false" customHeight="false" outlineLevel="0" collapsed="false">
      <c r="A391" s="2" t="n">
        <v>16</v>
      </c>
      <c r="B391" s="3" t="s">
        <v>465</v>
      </c>
      <c r="C391" s="3" t="s">
        <v>474</v>
      </c>
      <c r="D391" s="2" t="n">
        <v>390</v>
      </c>
      <c r="E391" s="2"/>
      <c r="F391" s="4" t="s">
        <v>475</v>
      </c>
      <c r="G391" s="8" t="s">
        <v>62</v>
      </c>
      <c r="H391" s="6" t="s">
        <v>17</v>
      </c>
      <c r="I391" s="7" t="s">
        <v>18</v>
      </c>
      <c r="J391" s="2" t="s">
        <v>19</v>
      </c>
      <c r="K391" s="3"/>
      <c r="L391" s="2"/>
      <c r="M391" s="3"/>
    </row>
    <row r="392" customFormat="false" ht="15" hidden="false" customHeight="false" outlineLevel="0" collapsed="false">
      <c r="A392" s="2" t="n">
        <v>16</v>
      </c>
      <c r="B392" s="3" t="s">
        <v>465</v>
      </c>
      <c r="C392" s="3" t="s">
        <v>474</v>
      </c>
      <c r="D392" s="2" t="n">
        <v>391</v>
      </c>
      <c r="E392" s="2"/>
      <c r="F392" s="4" t="s">
        <v>476</v>
      </c>
      <c r="G392" s="8" t="s">
        <v>62</v>
      </c>
      <c r="H392" s="6" t="s">
        <v>17</v>
      </c>
      <c r="I392" s="7" t="s">
        <v>18</v>
      </c>
      <c r="J392" s="2" t="s">
        <v>19</v>
      </c>
      <c r="K392" s="3"/>
      <c r="L392" s="2"/>
      <c r="M392" s="3"/>
    </row>
    <row r="393" customFormat="false" ht="15" hidden="false" customHeight="false" outlineLevel="0" collapsed="false">
      <c r="A393" s="2" t="n">
        <v>16</v>
      </c>
      <c r="B393" s="3" t="s">
        <v>465</v>
      </c>
      <c r="C393" s="3" t="s">
        <v>474</v>
      </c>
      <c r="D393" s="2" t="n">
        <v>392</v>
      </c>
      <c r="E393" s="2"/>
      <c r="F393" s="4" t="s">
        <v>477</v>
      </c>
      <c r="G393" s="8" t="s">
        <v>62</v>
      </c>
      <c r="H393" s="6" t="s">
        <v>17</v>
      </c>
      <c r="I393" s="7" t="s">
        <v>18</v>
      </c>
      <c r="J393" s="2" t="s">
        <v>19</v>
      </c>
      <c r="K393" s="3"/>
      <c r="L393" s="2"/>
      <c r="M393" s="3"/>
    </row>
    <row r="394" customFormat="false" ht="15" hidden="false" customHeight="false" outlineLevel="0" collapsed="false">
      <c r="A394" s="2" t="n">
        <v>16</v>
      </c>
      <c r="B394" s="3" t="s">
        <v>465</v>
      </c>
      <c r="C394" s="3" t="s">
        <v>474</v>
      </c>
      <c r="D394" s="2" t="n">
        <v>393</v>
      </c>
      <c r="E394" s="2"/>
      <c r="F394" s="4" t="s">
        <v>478</v>
      </c>
      <c r="G394" s="8" t="s">
        <v>62</v>
      </c>
      <c r="H394" s="6" t="s">
        <v>17</v>
      </c>
      <c r="I394" s="7" t="s">
        <v>18</v>
      </c>
      <c r="J394" s="2" t="s">
        <v>19</v>
      </c>
      <c r="K394" s="3"/>
      <c r="L394" s="2"/>
      <c r="M394" s="3"/>
    </row>
    <row r="395" customFormat="false" ht="15" hidden="false" customHeight="false" outlineLevel="0" collapsed="false">
      <c r="A395" s="2" t="n">
        <v>16</v>
      </c>
      <c r="B395" s="3" t="s">
        <v>465</v>
      </c>
      <c r="C395" s="3" t="s">
        <v>474</v>
      </c>
      <c r="D395" s="2" t="n">
        <v>394</v>
      </c>
      <c r="E395" s="2"/>
      <c r="F395" s="4" t="s">
        <v>479</v>
      </c>
      <c r="G395" s="8" t="s">
        <v>62</v>
      </c>
      <c r="H395" s="6" t="s">
        <v>17</v>
      </c>
      <c r="I395" s="7" t="s">
        <v>18</v>
      </c>
      <c r="J395" s="2" t="s">
        <v>19</v>
      </c>
      <c r="K395" s="3"/>
      <c r="L395" s="2"/>
      <c r="M395" s="3"/>
    </row>
    <row r="396" customFormat="false" ht="15" hidden="false" customHeight="false" outlineLevel="0" collapsed="false">
      <c r="A396" s="2" t="n">
        <v>16</v>
      </c>
      <c r="B396" s="3" t="s">
        <v>465</v>
      </c>
      <c r="C396" s="3" t="s">
        <v>474</v>
      </c>
      <c r="D396" s="2" t="n">
        <v>395</v>
      </c>
      <c r="E396" s="2"/>
      <c r="F396" s="4" t="s">
        <v>480</v>
      </c>
      <c r="G396" s="8" t="s">
        <v>62</v>
      </c>
      <c r="H396" s="6" t="s">
        <v>17</v>
      </c>
      <c r="I396" s="7" t="s">
        <v>18</v>
      </c>
      <c r="J396" s="2" t="s">
        <v>19</v>
      </c>
      <c r="K396" s="3"/>
      <c r="L396" s="2"/>
      <c r="M396" s="3"/>
    </row>
    <row r="397" customFormat="false" ht="15" hidden="false" customHeight="false" outlineLevel="0" collapsed="false">
      <c r="A397" s="2" t="n">
        <v>16</v>
      </c>
      <c r="B397" s="3" t="s">
        <v>465</v>
      </c>
      <c r="C397" s="3" t="s">
        <v>474</v>
      </c>
      <c r="D397" s="2" t="n">
        <v>396</v>
      </c>
      <c r="E397" s="2"/>
      <c r="F397" s="4" t="s">
        <v>481</v>
      </c>
      <c r="G397" s="9" t="s">
        <v>100</v>
      </c>
      <c r="H397" s="6" t="s">
        <v>17</v>
      </c>
      <c r="I397" s="7" t="s">
        <v>18</v>
      </c>
      <c r="J397" s="2" t="s">
        <v>19</v>
      </c>
      <c r="K397" s="3"/>
      <c r="L397" s="2"/>
      <c r="M397" s="3"/>
    </row>
    <row r="398" customFormat="false" ht="15" hidden="false" customHeight="false" outlineLevel="0" collapsed="false">
      <c r="A398" s="2" t="n">
        <v>16</v>
      </c>
      <c r="B398" s="3" t="s">
        <v>465</v>
      </c>
      <c r="C398" s="3" t="s">
        <v>482</v>
      </c>
      <c r="D398" s="2" t="n">
        <v>397</v>
      </c>
      <c r="E398" s="2"/>
      <c r="F398" s="4" t="s">
        <v>483</v>
      </c>
      <c r="G398" s="8" t="s">
        <v>62</v>
      </c>
      <c r="H398" s="6" t="s">
        <v>17</v>
      </c>
      <c r="I398" s="7" t="s">
        <v>18</v>
      </c>
      <c r="J398" s="2" t="s">
        <v>19</v>
      </c>
      <c r="K398" s="3"/>
      <c r="L398" s="2"/>
      <c r="M398" s="3"/>
    </row>
    <row r="399" customFormat="false" ht="15" hidden="false" customHeight="false" outlineLevel="0" collapsed="false">
      <c r="A399" s="2" t="n">
        <v>16</v>
      </c>
      <c r="B399" s="3" t="s">
        <v>465</v>
      </c>
      <c r="C399" s="3" t="s">
        <v>482</v>
      </c>
      <c r="D399" s="2" t="n">
        <v>398</v>
      </c>
      <c r="E399" s="2"/>
      <c r="F399" s="4" t="s">
        <v>484</v>
      </c>
      <c r="G399" s="8" t="s">
        <v>62</v>
      </c>
      <c r="H399" s="6" t="s">
        <v>17</v>
      </c>
      <c r="I399" s="7" t="s">
        <v>18</v>
      </c>
      <c r="J399" s="2" t="s">
        <v>19</v>
      </c>
      <c r="K399" s="3"/>
      <c r="L399" s="2"/>
      <c r="M399" s="3"/>
    </row>
    <row r="400" customFormat="false" ht="15" hidden="false" customHeight="false" outlineLevel="0" collapsed="false">
      <c r="A400" s="2" t="n">
        <v>16</v>
      </c>
      <c r="B400" s="3" t="s">
        <v>465</v>
      </c>
      <c r="C400" s="3" t="s">
        <v>482</v>
      </c>
      <c r="D400" s="2" t="n">
        <v>399</v>
      </c>
      <c r="E400" s="2"/>
      <c r="F400" s="4" t="s">
        <v>485</v>
      </c>
      <c r="G400" s="9" t="s">
        <v>100</v>
      </c>
      <c r="H400" s="6" t="s">
        <v>17</v>
      </c>
      <c r="I400" s="7" t="s">
        <v>18</v>
      </c>
      <c r="J400" s="2" t="s">
        <v>19</v>
      </c>
      <c r="K400" s="3"/>
      <c r="L400" s="2"/>
      <c r="M400" s="3"/>
    </row>
    <row r="401" customFormat="false" ht="15" hidden="false" customHeight="false" outlineLevel="0" collapsed="false">
      <c r="A401" s="2" t="n">
        <v>16</v>
      </c>
      <c r="B401" s="3" t="s">
        <v>465</v>
      </c>
      <c r="C401" s="3" t="s">
        <v>482</v>
      </c>
      <c r="D401" s="2" t="n">
        <v>400</v>
      </c>
      <c r="E401" s="2"/>
      <c r="F401" s="4" t="s">
        <v>486</v>
      </c>
      <c r="G401" s="8" t="s">
        <v>62</v>
      </c>
      <c r="H401" s="6" t="s">
        <v>17</v>
      </c>
      <c r="I401" s="7" t="s">
        <v>18</v>
      </c>
      <c r="J401" s="2" t="s">
        <v>19</v>
      </c>
      <c r="K401" s="3"/>
      <c r="L401" s="2"/>
      <c r="M401" s="3"/>
    </row>
    <row r="402" customFormat="false" ht="15" hidden="false" customHeight="false" outlineLevel="0" collapsed="false">
      <c r="A402" s="2" t="n">
        <v>16</v>
      </c>
      <c r="B402" s="3" t="s">
        <v>465</v>
      </c>
      <c r="C402" s="3" t="s">
        <v>482</v>
      </c>
      <c r="D402" s="2" t="n">
        <v>401</v>
      </c>
      <c r="E402" s="2"/>
      <c r="F402" s="4" t="s">
        <v>487</v>
      </c>
      <c r="G402" s="9" t="s">
        <v>100</v>
      </c>
      <c r="H402" s="6" t="s">
        <v>17</v>
      </c>
      <c r="I402" s="7" t="s">
        <v>18</v>
      </c>
      <c r="J402" s="2" t="s">
        <v>19</v>
      </c>
      <c r="K402" s="3"/>
      <c r="L402" s="2"/>
      <c r="M402" s="3"/>
    </row>
    <row r="403" customFormat="false" ht="15" hidden="false" customHeight="false" outlineLevel="0" collapsed="false">
      <c r="A403" s="2" t="n">
        <v>16</v>
      </c>
      <c r="B403" s="3" t="s">
        <v>465</v>
      </c>
      <c r="C403" s="3" t="s">
        <v>482</v>
      </c>
      <c r="D403" s="2" t="n">
        <v>402</v>
      </c>
      <c r="E403" s="2"/>
      <c r="F403" s="4" t="s">
        <v>488</v>
      </c>
      <c r="G403" s="8" t="s">
        <v>62</v>
      </c>
      <c r="H403" s="6" t="s">
        <v>17</v>
      </c>
      <c r="I403" s="7" t="s">
        <v>18</v>
      </c>
      <c r="J403" s="2" t="s">
        <v>19</v>
      </c>
      <c r="K403" s="3"/>
      <c r="L403" s="2"/>
      <c r="M403" s="3"/>
    </row>
    <row r="404" customFormat="false" ht="15" hidden="false" customHeight="false" outlineLevel="0" collapsed="false">
      <c r="A404" s="2" t="n">
        <v>16</v>
      </c>
      <c r="B404" s="3" t="s">
        <v>465</v>
      </c>
      <c r="C404" s="3" t="s">
        <v>482</v>
      </c>
      <c r="D404" s="2" t="n">
        <v>403</v>
      </c>
      <c r="E404" s="2"/>
      <c r="F404" s="4" t="s">
        <v>489</v>
      </c>
      <c r="G404" s="8" t="s">
        <v>62</v>
      </c>
      <c r="H404" s="6" t="s">
        <v>17</v>
      </c>
      <c r="I404" s="7" t="s">
        <v>18</v>
      </c>
      <c r="J404" s="2" t="s">
        <v>19</v>
      </c>
      <c r="K404" s="3"/>
      <c r="L404" s="2"/>
      <c r="M404" s="3"/>
    </row>
    <row r="405" customFormat="false" ht="15" hidden="false" customHeight="false" outlineLevel="0" collapsed="false">
      <c r="A405" s="2" t="n">
        <v>16</v>
      </c>
      <c r="B405" s="3" t="s">
        <v>465</v>
      </c>
      <c r="C405" s="3" t="s">
        <v>482</v>
      </c>
      <c r="D405" s="2" t="n">
        <v>404</v>
      </c>
      <c r="E405" s="2"/>
      <c r="F405" s="4" t="s">
        <v>490</v>
      </c>
      <c r="G405" s="8" t="s">
        <v>62</v>
      </c>
      <c r="H405" s="6" t="s">
        <v>17</v>
      </c>
      <c r="I405" s="7" t="s">
        <v>18</v>
      </c>
      <c r="J405" s="2" t="s">
        <v>19</v>
      </c>
      <c r="K405" s="3"/>
      <c r="L405" s="2"/>
      <c r="M405" s="3"/>
    </row>
    <row r="406" customFormat="false" ht="15" hidden="false" customHeight="false" outlineLevel="0" collapsed="false">
      <c r="A406" s="2" t="n">
        <v>16</v>
      </c>
      <c r="B406" s="3" t="s">
        <v>465</v>
      </c>
      <c r="C406" s="3" t="s">
        <v>482</v>
      </c>
      <c r="D406" s="2" t="n">
        <v>405</v>
      </c>
      <c r="E406" s="2"/>
      <c r="F406" s="4" t="s">
        <v>491</v>
      </c>
      <c r="G406" s="8" t="s">
        <v>62</v>
      </c>
      <c r="H406" s="6" t="s">
        <v>17</v>
      </c>
      <c r="I406" s="7" t="s">
        <v>18</v>
      </c>
      <c r="J406" s="2" t="s">
        <v>19</v>
      </c>
      <c r="K406" s="3"/>
      <c r="L406" s="2"/>
      <c r="M406" s="3"/>
    </row>
    <row r="407" customFormat="false" ht="15" hidden="false" customHeight="false" outlineLevel="0" collapsed="false">
      <c r="A407" s="2" t="n">
        <v>16</v>
      </c>
      <c r="B407" s="3" t="s">
        <v>465</v>
      </c>
      <c r="C407" s="3" t="s">
        <v>482</v>
      </c>
      <c r="D407" s="2" t="n">
        <v>406</v>
      </c>
      <c r="E407" s="2"/>
      <c r="F407" s="4" t="s">
        <v>492</v>
      </c>
      <c r="G407" s="8" t="s">
        <v>62</v>
      </c>
      <c r="H407" s="6" t="s">
        <v>17</v>
      </c>
      <c r="I407" s="7" t="s">
        <v>18</v>
      </c>
      <c r="J407" s="2" t="s">
        <v>19</v>
      </c>
      <c r="K407" s="3"/>
      <c r="L407" s="2"/>
      <c r="M407" s="3"/>
    </row>
    <row r="408" customFormat="false" ht="15" hidden="false" customHeight="false" outlineLevel="0" collapsed="false">
      <c r="A408" s="2" t="n">
        <v>16</v>
      </c>
      <c r="B408" s="3" t="s">
        <v>465</v>
      </c>
      <c r="C408" s="3" t="s">
        <v>482</v>
      </c>
      <c r="D408" s="2" t="n">
        <v>407</v>
      </c>
      <c r="E408" s="2"/>
      <c r="F408" s="4" t="s">
        <v>493</v>
      </c>
      <c r="G408" s="8" t="s">
        <v>62</v>
      </c>
      <c r="H408" s="6" t="s">
        <v>17</v>
      </c>
      <c r="I408" s="7" t="s">
        <v>18</v>
      </c>
      <c r="J408" s="2" t="s">
        <v>19</v>
      </c>
      <c r="K408" s="3"/>
      <c r="L408" s="2"/>
      <c r="M408" s="3"/>
    </row>
    <row r="409" customFormat="false" ht="15" hidden="false" customHeight="false" outlineLevel="0" collapsed="false">
      <c r="A409" s="2" t="n">
        <v>16</v>
      </c>
      <c r="B409" s="3" t="s">
        <v>465</v>
      </c>
      <c r="C409" s="3" t="s">
        <v>494</v>
      </c>
      <c r="D409" s="2" t="n">
        <v>408</v>
      </c>
      <c r="E409" s="2"/>
      <c r="F409" s="4" t="s">
        <v>495</v>
      </c>
      <c r="G409" s="8" t="s">
        <v>62</v>
      </c>
      <c r="H409" s="6" t="s">
        <v>17</v>
      </c>
      <c r="I409" s="7" t="s">
        <v>18</v>
      </c>
      <c r="J409" s="2" t="s">
        <v>19</v>
      </c>
      <c r="K409" s="3"/>
      <c r="L409" s="2"/>
      <c r="M409" s="3"/>
    </row>
    <row r="410" customFormat="false" ht="15" hidden="false" customHeight="false" outlineLevel="0" collapsed="false">
      <c r="A410" s="2" t="n">
        <v>16</v>
      </c>
      <c r="B410" s="3" t="s">
        <v>465</v>
      </c>
      <c r="C410" s="3" t="s">
        <v>494</v>
      </c>
      <c r="D410" s="2" t="n">
        <v>409</v>
      </c>
      <c r="E410" s="2"/>
      <c r="F410" s="4" t="s">
        <v>496</v>
      </c>
      <c r="G410" s="8" t="s">
        <v>62</v>
      </c>
      <c r="H410" s="6" t="s">
        <v>17</v>
      </c>
      <c r="I410" s="7" t="s">
        <v>18</v>
      </c>
      <c r="J410" s="2" t="s">
        <v>19</v>
      </c>
      <c r="K410" s="3"/>
      <c r="L410" s="2"/>
      <c r="M410" s="3"/>
    </row>
    <row r="411" customFormat="false" ht="15" hidden="false" customHeight="false" outlineLevel="0" collapsed="false">
      <c r="A411" s="2" t="n">
        <v>16</v>
      </c>
      <c r="B411" s="3" t="s">
        <v>465</v>
      </c>
      <c r="C411" s="3" t="s">
        <v>494</v>
      </c>
      <c r="D411" s="2" t="n">
        <v>410</v>
      </c>
      <c r="E411" s="2"/>
      <c r="F411" s="4" t="s">
        <v>497</v>
      </c>
      <c r="G411" s="8" t="s">
        <v>62</v>
      </c>
      <c r="H411" s="6" t="s">
        <v>17</v>
      </c>
      <c r="I411" s="7" t="s">
        <v>18</v>
      </c>
      <c r="J411" s="2" t="s">
        <v>19</v>
      </c>
      <c r="K411" s="3"/>
      <c r="L411" s="2"/>
      <c r="M411" s="3"/>
    </row>
    <row r="412" customFormat="false" ht="15" hidden="false" customHeight="false" outlineLevel="0" collapsed="false">
      <c r="A412" s="2" t="n">
        <v>16</v>
      </c>
      <c r="B412" s="3" t="s">
        <v>465</v>
      </c>
      <c r="C412" s="3" t="s">
        <v>494</v>
      </c>
      <c r="D412" s="2" t="n">
        <v>411</v>
      </c>
      <c r="E412" s="2"/>
      <c r="F412" s="4" t="s">
        <v>498</v>
      </c>
      <c r="G412" s="8" t="s">
        <v>62</v>
      </c>
      <c r="H412" s="6" t="s">
        <v>17</v>
      </c>
      <c r="I412" s="7" t="s">
        <v>18</v>
      </c>
      <c r="J412" s="2" t="s">
        <v>19</v>
      </c>
      <c r="K412" s="3"/>
      <c r="L412" s="2"/>
      <c r="M412" s="3"/>
    </row>
    <row r="413" customFormat="false" ht="15" hidden="false" customHeight="false" outlineLevel="0" collapsed="false">
      <c r="A413" s="2" t="n">
        <v>16</v>
      </c>
      <c r="B413" s="3" t="s">
        <v>465</v>
      </c>
      <c r="C413" s="3" t="s">
        <v>494</v>
      </c>
      <c r="D413" s="2" t="n">
        <v>412</v>
      </c>
      <c r="E413" s="2"/>
      <c r="F413" s="4" t="s">
        <v>499</v>
      </c>
      <c r="G413" s="8" t="s">
        <v>62</v>
      </c>
      <c r="H413" s="6" t="s">
        <v>17</v>
      </c>
      <c r="I413" s="7" t="s">
        <v>18</v>
      </c>
      <c r="J413" s="2" t="s">
        <v>19</v>
      </c>
      <c r="K413" s="3"/>
      <c r="L413" s="2"/>
      <c r="M413" s="3"/>
    </row>
    <row r="414" customFormat="false" ht="15" hidden="false" customHeight="false" outlineLevel="0" collapsed="false">
      <c r="A414" s="2" t="n">
        <v>16</v>
      </c>
      <c r="B414" s="3" t="s">
        <v>465</v>
      </c>
      <c r="C414" s="3" t="s">
        <v>494</v>
      </c>
      <c r="D414" s="2" t="n">
        <v>413</v>
      </c>
      <c r="E414" s="2"/>
      <c r="F414" s="4" t="s">
        <v>500</v>
      </c>
      <c r="G414" s="8" t="s">
        <v>62</v>
      </c>
      <c r="H414" s="6" t="s">
        <v>17</v>
      </c>
      <c r="I414" s="7" t="s">
        <v>18</v>
      </c>
      <c r="J414" s="2" t="s">
        <v>19</v>
      </c>
      <c r="K414" s="3"/>
      <c r="L414" s="2"/>
      <c r="M414" s="3"/>
    </row>
    <row r="415" customFormat="false" ht="15" hidden="false" customHeight="false" outlineLevel="0" collapsed="false">
      <c r="A415" s="2" t="n">
        <v>16</v>
      </c>
      <c r="B415" s="3" t="s">
        <v>465</v>
      </c>
      <c r="C415" s="3" t="s">
        <v>494</v>
      </c>
      <c r="D415" s="2" t="n">
        <v>414</v>
      </c>
      <c r="E415" s="2"/>
      <c r="F415" s="4" t="s">
        <v>501</v>
      </c>
      <c r="G415" s="9" t="s">
        <v>100</v>
      </c>
      <c r="H415" s="6" t="s">
        <v>17</v>
      </c>
      <c r="I415" s="7" t="s">
        <v>18</v>
      </c>
      <c r="J415" s="2" t="s">
        <v>19</v>
      </c>
      <c r="K415" s="3"/>
      <c r="L415" s="2"/>
      <c r="M415" s="3"/>
    </row>
    <row r="416" customFormat="false" ht="15" hidden="false" customHeight="false" outlineLevel="0" collapsed="false">
      <c r="A416" s="2" t="n">
        <v>16</v>
      </c>
      <c r="B416" s="3" t="s">
        <v>465</v>
      </c>
      <c r="C416" s="3" t="s">
        <v>494</v>
      </c>
      <c r="D416" s="2" t="n">
        <v>415</v>
      </c>
      <c r="E416" s="2"/>
      <c r="F416" s="4" t="s">
        <v>502</v>
      </c>
      <c r="G416" s="9" t="s">
        <v>100</v>
      </c>
      <c r="H416" s="6" t="s">
        <v>17</v>
      </c>
      <c r="I416" s="7" t="s">
        <v>18</v>
      </c>
      <c r="J416" s="2" t="s">
        <v>19</v>
      </c>
      <c r="K416" s="3"/>
      <c r="L416" s="2"/>
      <c r="M416" s="3"/>
    </row>
    <row r="417" customFormat="false" ht="15" hidden="false" customHeight="false" outlineLevel="0" collapsed="false">
      <c r="A417" s="2" t="n">
        <v>16</v>
      </c>
      <c r="B417" s="3" t="s">
        <v>465</v>
      </c>
      <c r="C417" s="3" t="s">
        <v>494</v>
      </c>
      <c r="D417" s="2" t="n">
        <v>416</v>
      </c>
      <c r="E417" s="2"/>
      <c r="F417" s="4" t="s">
        <v>503</v>
      </c>
      <c r="G417" s="9" t="s">
        <v>100</v>
      </c>
      <c r="H417" s="6" t="s">
        <v>17</v>
      </c>
      <c r="I417" s="7" t="s">
        <v>18</v>
      </c>
      <c r="J417" s="2" t="s">
        <v>19</v>
      </c>
      <c r="K417" s="3"/>
      <c r="L417" s="2"/>
      <c r="M417" s="3"/>
    </row>
    <row r="418" customFormat="false" ht="15" hidden="false" customHeight="false" outlineLevel="0" collapsed="false">
      <c r="A418" s="2" t="n">
        <v>16</v>
      </c>
      <c r="B418" s="3" t="s">
        <v>465</v>
      </c>
      <c r="C418" s="3" t="s">
        <v>494</v>
      </c>
      <c r="D418" s="2" t="n">
        <v>417</v>
      </c>
      <c r="E418" s="2"/>
      <c r="F418" s="4" t="s">
        <v>504</v>
      </c>
      <c r="G418" s="9" t="s">
        <v>100</v>
      </c>
      <c r="H418" s="6" t="s">
        <v>17</v>
      </c>
      <c r="I418" s="7" t="s">
        <v>18</v>
      </c>
      <c r="J418" s="2" t="s">
        <v>19</v>
      </c>
      <c r="K418" s="3"/>
      <c r="L418" s="2"/>
      <c r="M418" s="3"/>
    </row>
    <row r="419" customFormat="false" ht="15" hidden="false" customHeight="false" outlineLevel="0" collapsed="false">
      <c r="A419" s="2" t="n">
        <v>16</v>
      </c>
      <c r="B419" s="3" t="s">
        <v>465</v>
      </c>
      <c r="C419" s="3" t="s">
        <v>505</v>
      </c>
      <c r="D419" s="2" t="n">
        <v>418</v>
      </c>
      <c r="E419" s="2"/>
      <c r="F419" s="4" t="s">
        <v>506</v>
      </c>
      <c r="G419" s="5" t="s">
        <v>16</v>
      </c>
      <c r="H419" s="6" t="s">
        <v>17</v>
      </c>
      <c r="I419" s="7" t="s">
        <v>18</v>
      </c>
      <c r="J419" s="2" t="s">
        <v>19</v>
      </c>
      <c r="K419" s="3"/>
      <c r="L419" s="2"/>
      <c r="M419" s="3"/>
    </row>
    <row r="420" customFormat="false" ht="15" hidden="false" customHeight="false" outlineLevel="0" collapsed="false">
      <c r="A420" s="2" t="n">
        <v>16</v>
      </c>
      <c r="B420" s="3" t="s">
        <v>465</v>
      </c>
      <c r="C420" s="3" t="s">
        <v>505</v>
      </c>
      <c r="D420" s="2" t="n">
        <v>419</v>
      </c>
      <c r="E420" s="2"/>
      <c r="F420" s="4" t="s">
        <v>507</v>
      </c>
      <c r="G420" s="8" t="s">
        <v>62</v>
      </c>
      <c r="H420" s="6" t="s">
        <v>17</v>
      </c>
      <c r="I420" s="7" t="s">
        <v>18</v>
      </c>
      <c r="J420" s="2" t="s">
        <v>19</v>
      </c>
      <c r="K420" s="3"/>
      <c r="L420" s="2"/>
      <c r="M420" s="3"/>
    </row>
    <row r="421" customFormat="false" ht="15" hidden="false" customHeight="false" outlineLevel="0" collapsed="false">
      <c r="A421" s="2" t="n">
        <v>16</v>
      </c>
      <c r="B421" s="3" t="s">
        <v>465</v>
      </c>
      <c r="C421" s="3" t="s">
        <v>505</v>
      </c>
      <c r="D421" s="2" t="n">
        <v>420</v>
      </c>
      <c r="E421" s="2"/>
      <c r="F421" s="4" t="s">
        <v>508</v>
      </c>
      <c r="G421" s="9" t="s">
        <v>100</v>
      </c>
      <c r="H421" s="6" t="s">
        <v>17</v>
      </c>
      <c r="I421" s="7" t="s">
        <v>18</v>
      </c>
      <c r="J421" s="2" t="s">
        <v>19</v>
      </c>
      <c r="K421" s="3"/>
      <c r="L421" s="2"/>
      <c r="M421" s="3"/>
    </row>
    <row r="422" customFormat="false" ht="15" hidden="false" customHeight="false" outlineLevel="0" collapsed="false">
      <c r="A422" s="2" t="n">
        <v>16</v>
      </c>
      <c r="B422" s="3" t="s">
        <v>465</v>
      </c>
      <c r="C422" s="3" t="s">
        <v>505</v>
      </c>
      <c r="D422" s="2" t="n">
        <v>421</v>
      </c>
      <c r="E422" s="2"/>
      <c r="F422" s="4" t="s">
        <v>509</v>
      </c>
      <c r="G422" s="9" t="s">
        <v>100</v>
      </c>
      <c r="H422" s="6" t="s">
        <v>17</v>
      </c>
      <c r="I422" s="7" t="s">
        <v>18</v>
      </c>
      <c r="J422" s="2" t="s">
        <v>19</v>
      </c>
      <c r="K422" s="3"/>
      <c r="L422" s="2"/>
      <c r="M422" s="3"/>
    </row>
    <row r="423" customFormat="false" ht="15" hidden="false" customHeight="false" outlineLevel="0" collapsed="false">
      <c r="A423" s="2" t="n">
        <v>16</v>
      </c>
      <c r="B423" s="3" t="s">
        <v>465</v>
      </c>
      <c r="C423" s="3" t="s">
        <v>505</v>
      </c>
      <c r="D423" s="2" t="n">
        <v>422</v>
      </c>
      <c r="E423" s="2"/>
      <c r="F423" s="4" t="s">
        <v>510</v>
      </c>
      <c r="G423" s="8" t="s">
        <v>62</v>
      </c>
      <c r="H423" s="6" t="s">
        <v>17</v>
      </c>
      <c r="I423" s="7" t="s">
        <v>18</v>
      </c>
      <c r="J423" s="2" t="s">
        <v>19</v>
      </c>
      <c r="K423" s="3"/>
      <c r="L423" s="2"/>
      <c r="M423" s="3"/>
    </row>
    <row r="424" customFormat="false" ht="15" hidden="false" customHeight="false" outlineLevel="0" collapsed="false">
      <c r="A424" s="2" t="n">
        <v>16</v>
      </c>
      <c r="B424" s="3" t="s">
        <v>465</v>
      </c>
      <c r="C424" s="3" t="s">
        <v>505</v>
      </c>
      <c r="D424" s="2" t="n">
        <v>423</v>
      </c>
      <c r="E424" s="2"/>
      <c r="F424" s="4" t="s">
        <v>511</v>
      </c>
      <c r="G424" s="8" t="s">
        <v>62</v>
      </c>
      <c r="H424" s="6" t="s">
        <v>17</v>
      </c>
      <c r="I424" s="7" t="s">
        <v>18</v>
      </c>
      <c r="J424" s="2" t="s">
        <v>19</v>
      </c>
      <c r="K424" s="3"/>
      <c r="L424" s="2"/>
      <c r="M424" s="3"/>
    </row>
    <row r="425" customFormat="false" ht="15" hidden="false" customHeight="false" outlineLevel="0" collapsed="false">
      <c r="A425" s="2" t="n">
        <v>16</v>
      </c>
      <c r="B425" s="3" t="s">
        <v>465</v>
      </c>
      <c r="C425" s="3" t="s">
        <v>512</v>
      </c>
      <c r="D425" s="2" t="n">
        <v>424</v>
      </c>
      <c r="E425" s="2"/>
      <c r="F425" s="4" t="s">
        <v>513</v>
      </c>
      <c r="G425" s="8" t="s">
        <v>62</v>
      </c>
      <c r="H425" s="6" t="s">
        <v>17</v>
      </c>
      <c r="I425" s="7" t="s">
        <v>18</v>
      </c>
      <c r="J425" s="2" t="s">
        <v>19</v>
      </c>
      <c r="K425" s="3"/>
      <c r="L425" s="2"/>
      <c r="M425" s="3"/>
    </row>
    <row r="426" customFormat="false" ht="15" hidden="false" customHeight="false" outlineLevel="0" collapsed="false">
      <c r="A426" s="2" t="n">
        <v>16</v>
      </c>
      <c r="B426" s="3" t="s">
        <v>465</v>
      </c>
      <c r="C426" s="3" t="s">
        <v>512</v>
      </c>
      <c r="D426" s="2" t="n">
        <v>425</v>
      </c>
      <c r="E426" s="2"/>
      <c r="F426" s="4" t="s">
        <v>514</v>
      </c>
      <c r="G426" s="8" t="s">
        <v>62</v>
      </c>
      <c r="H426" s="6" t="s">
        <v>17</v>
      </c>
      <c r="I426" s="7" t="s">
        <v>18</v>
      </c>
      <c r="J426" s="2" t="s">
        <v>19</v>
      </c>
      <c r="K426" s="3"/>
      <c r="L426" s="2"/>
      <c r="M426" s="3"/>
    </row>
    <row r="427" customFormat="false" ht="15" hidden="false" customHeight="false" outlineLevel="0" collapsed="false">
      <c r="A427" s="2" t="n">
        <v>16</v>
      </c>
      <c r="B427" s="3" t="s">
        <v>465</v>
      </c>
      <c r="C427" s="3" t="s">
        <v>512</v>
      </c>
      <c r="D427" s="2" t="n">
        <v>426</v>
      </c>
      <c r="E427" s="2"/>
      <c r="F427" s="4" t="s">
        <v>515</v>
      </c>
      <c r="G427" s="8" t="s">
        <v>62</v>
      </c>
      <c r="H427" s="6" t="s">
        <v>17</v>
      </c>
      <c r="I427" s="7" t="s">
        <v>18</v>
      </c>
      <c r="J427" s="2" t="s">
        <v>19</v>
      </c>
      <c r="K427" s="3"/>
      <c r="L427" s="2"/>
      <c r="M427" s="3"/>
    </row>
    <row r="428" customFormat="false" ht="15" hidden="false" customHeight="false" outlineLevel="0" collapsed="false">
      <c r="A428" s="2" t="n">
        <v>16</v>
      </c>
      <c r="B428" s="3" t="s">
        <v>465</v>
      </c>
      <c r="C428" s="3" t="s">
        <v>512</v>
      </c>
      <c r="D428" s="2" t="n">
        <v>427</v>
      </c>
      <c r="E428" s="2"/>
      <c r="F428" s="4" t="s">
        <v>516</v>
      </c>
      <c r="G428" s="8" t="s">
        <v>62</v>
      </c>
      <c r="H428" s="6" t="s">
        <v>17</v>
      </c>
      <c r="I428" s="7" t="s">
        <v>18</v>
      </c>
      <c r="J428" s="2" t="s">
        <v>19</v>
      </c>
      <c r="K428" s="3"/>
      <c r="L428" s="2"/>
      <c r="M428" s="3"/>
    </row>
    <row r="429" customFormat="false" ht="15" hidden="false" customHeight="false" outlineLevel="0" collapsed="false">
      <c r="A429" s="2" t="n">
        <v>16</v>
      </c>
      <c r="B429" s="3" t="s">
        <v>465</v>
      </c>
      <c r="C429" s="3" t="s">
        <v>512</v>
      </c>
      <c r="D429" s="2" t="n">
        <v>428</v>
      </c>
      <c r="E429" s="2"/>
      <c r="F429" s="4" t="s">
        <v>517</v>
      </c>
      <c r="G429" s="8" t="s">
        <v>62</v>
      </c>
      <c r="H429" s="6" t="s">
        <v>17</v>
      </c>
      <c r="I429" s="7" t="s">
        <v>18</v>
      </c>
      <c r="J429" s="2" t="s">
        <v>19</v>
      </c>
      <c r="K429" s="3"/>
      <c r="L429" s="2"/>
      <c r="M429" s="3"/>
    </row>
    <row r="430" customFormat="false" ht="15" hidden="false" customHeight="false" outlineLevel="0" collapsed="false">
      <c r="A430" s="2" t="n">
        <v>16</v>
      </c>
      <c r="B430" s="3" t="s">
        <v>465</v>
      </c>
      <c r="C430" s="3" t="s">
        <v>512</v>
      </c>
      <c r="D430" s="2" t="n">
        <v>429</v>
      </c>
      <c r="E430" s="2"/>
      <c r="F430" s="4" t="s">
        <v>518</v>
      </c>
      <c r="G430" s="8" t="s">
        <v>62</v>
      </c>
      <c r="H430" s="6" t="s">
        <v>17</v>
      </c>
      <c r="I430" s="7" t="s">
        <v>18</v>
      </c>
      <c r="J430" s="2" t="s">
        <v>19</v>
      </c>
      <c r="K430" s="3"/>
      <c r="L430" s="2"/>
      <c r="M430" s="3"/>
    </row>
    <row r="431" customFormat="false" ht="15" hidden="false" customHeight="false" outlineLevel="0" collapsed="false">
      <c r="A431" s="2" t="n">
        <v>16</v>
      </c>
      <c r="B431" s="3" t="s">
        <v>465</v>
      </c>
      <c r="C431" s="3" t="s">
        <v>512</v>
      </c>
      <c r="D431" s="2" t="n">
        <v>430</v>
      </c>
      <c r="E431" s="2"/>
      <c r="F431" s="4" t="s">
        <v>519</v>
      </c>
      <c r="G431" s="9" t="s">
        <v>100</v>
      </c>
      <c r="H431" s="6" t="s">
        <v>17</v>
      </c>
      <c r="I431" s="7" t="s">
        <v>18</v>
      </c>
      <c r="J431" s="2" t="s">
        <v>19</v>
      </c>
      <c r="K431" s="3"/>
      <c r="L431" s="2"/>
      <c r="M431" s="3"/>
    </row>
    <row r="432" customFormat="false" ht="15" hidden="false" customHeight="false" outlineLevel="0" collapsed="false">
      <c r="A432" s="2" t="n">
        <v>16</v>
      </c>
      <c r="B432" s="3" t="s">
        <v>465</v>
      </c>
      <c r="C432" s="3" t="s">
        <v>520</v>
      </c>
      <c r="D432" s="2" t="n">
        <v>431</v>
      </c>
      <c r="E432" s="2"/>
      <c r="F432" s="4" t="s">
        <v>521</v>
      </c>
      <c r="G432" s="9" t="s">
        <v>100</v>
      </c>
      <c r="H432" s="6" t="s">
        <v>17</v>
      </c>
      <c r="I432" s="7" t="s">
        <v>18</v>
      </c>
      <c r="J432" s="2" t="s">
        <v>19</v>
      </c>
      <c r="K432" s="3"/>
      <c r="L432" s="2"/>
      <c r="M432" s="3"/>
    </row>
    <row r="433" customFormat="false" ht="15" hidden="false" customHeight="false" outlineLevel="0" collapsed="false">
      <c r="A433" s="2" t="n">
        <v>16</v>
      </c>
      <c r="B433" s="3" t="s">
        <v>465</v>
      </c>
      <c r="C433" s="3" t="s">
        <v>520</v>
      </c>
      <c r="D433" s="2" t="n">
        <v>432</v>
      </c>
      <c r="E433" s="2"/>
      <c r="F433" s="4" t="s">
        <v>522</v>
      </c>
      <c r="G433" s="9" t="s">
        <v>100</v>
      </c>
      <c r="H433" s="6" t="s">
        <v>17</v>
      </c>
      <c r="I433" s="7" t="s">
        <v>18</v>
      </c>
      <c r="J433" s="2" t="s">
        <v>19</v>
      </c>
      <c r="K433" s="3"/>
      <c r="L433" s="2"/>
      <c r="M433" s="3"/>
    </row>
    <row r="434" customFormat="false" ht="15" hidden="false" customHeight="false" outlineLevel="0" collapsed="false">
      <c r="A434" s="2" t="n">
        <v>16</v>
      </c>
      <c r="B434" s="3" t="s">
        <v>465</v>
      </c>
      <c r="C434" s="3" t="s">
        <v>520</v>
      </c>
      <c r="D434" s="2" t="n">
        <v>433</v>
      </c>
      <c r="E434" s="2"/>
      <c r="F434" s="4" t="s">
        <v>523</v>
      </c>
      <c r="G434" s="9" t="s">
        <v>100</v>
      </c>
      <c r="H434" s="6" t="s">
        <v>17</v>
      </c>
      <c r="I434" s="7" t="s">
        <v>18</v>
      </c>
      <c r="J434" s="2" t="s">
        <v>19</v>
      </c>
      <c r="K434" s="3"/>
      <c r="L434" s="2"/>
      <c r="M434" s="3"/>
    </row>
    <row r="435" customFormat="false" ht="15" hidden="false" customHeight="false" outlineLevel="0" collapsed="false">
      <c r="A435" s="2" t="n">
        <v>16</v>
      </c>
      <c r="B435" s="3" t="s">
        <v>465</v>
      </c>
      <c r="C435" s="3" t="s">
        <v>520</v>
      </c>
      <c r="D435" s="2" t="n">
        <v>434</v>
      </c>
      <c r="E435" s="2"/>
      <c r="F435" s="4" t="s">
        <v>524</v>
      </c>
      <c r="G435" s="9" t="s">
        <v>100</v>
      </c>
      <c r="H435" s="6" t="s">
        <v>17</v>
      </c>
      <c r="I435" s="7" t="s">
        <v>18</v>
      </c>
      <c r="J435" s="2" t="s">
        <v>19</v>
      </c>
      <c r="K435" s="3"/>
      <c r="L435" s="2"/>
      <c r="M435" s="3"/>
    </row>
    <row r="436" customFormat="false" ht="15" hidden="false" customHeight="false" outlineLevel="0" collapsed="false">
      <c r="A436" s="2" t="n">
        <v>16</v>
      </c>
      <c r="B436" s="3" t="s">
        <v>465</v>
      </c>
      <c r="C436" s="3" t="s">
        <v>520</v>
      </c>
      <c r="D436" s="2" t="n">
        <v>435</v>
      </c>
      <c r="E436" s="2"/>
      <c r="F436" s="4" t="s">
        <v>525</v>
      </c>
      <c r="G436" s="9" t="s">
        <v>100</v>
      </c>
      <c r="H436" s="6" t="s">
        <v>17</v>
      </c>
      <c r="I436" s="7" t="s">
        <v>18</v>
      </c>
      <c r="J436" s="2" t="s">
        <v>19</v>
      </c>
      <c r="K436" s="3"/>
      <c r="L436" s="2"/>
      <c r="M436" s="3"/>
    </row>
    <row r="437" customFormat="false" ht="15" hidden="false" customHeight="false" outlineLevel="0" collapsed="false">
      <c r="A437" s="2" t="n">
        <v>16</v>
      </c>
      <c r="B437" s="3" t="s">
        <v>465</v>
      </c>
      <c r="C437" s="3" t="s">
        <v>520</v>
      </c>
      <c r="D437" s="2" t="n">
        <v>436</v>
      </c>
      <c r="E437" s="2"/>
      <c r="F437" s="4" t="s">
        <v>526</v>
      </c>
      <c r="G437" s="9" t="s">
        <v>100</v>
      </c>
      <c r="H437" s="6" t="s">
        <v>17</v>
      </c>
      <c r="I437" s="7" t="s">
        <v>18</v>
      </c>
      <c r="J437" s="2" t="s">
        <v>19</v>
      </c>
      <c r="K437" s="3"/>
      <c r="L437" s="2"/>
      <c r="M437" s="3"/>
    </row>
    <row r="438" customFormat="false" ht="15" hidden="false" customHeight="false" outlineLevel="0" collapsed="false">
      <c r="A438" s="2" t="n">
        <v>16</v>
      </c>
      <c r="B438" s="3" t="s">
        <v>465</v>
      </c>
      <c r="C438" s="3" t="s">
        <v>520</v>
      </c>
      <c r="D438" s="2" t="n">
        <v>437</v>
      </c>
      <c r="E438" s="2"/>
      <c r="F438" s="4" t="s">
        <v>527</v>
      </c>
      <c r="G438" s="8" t="s">
        <v>62</v>
      </c>
      <c r="H438" s="6" t="s">
        <v>17</v>
      </c>
      <c r="I438" s="7" t="s">
        <v>18</v>
      </c>
      <c r="J438" s="2" t="s">
        <v>19</v>
      </c>
      <c r="K438" s="3"/>
      <c r="L438" s="2"/>
      <c r="M438" s="3"/>
    </row>
    <row r="439" customFormat="false" ht="15" hidden="false" customHeight="false" outlineLevel="0" collapsed="false">
      <c r="A439" s="2" t="n">
        <v>16</v>
      </c>
      <c r="B439" s="3" t="s">
        <v>465</v>
      </c>
      <c r="C439" s="3" t="s">
        <v>528</v>
      </c>
      <c r="D439" s="2" t="n">
        <v>438</v>
      </c>
      <c r="E439" s="2"/>
      <c r="F439" s="4" t="s">
        <v>529</v>
      </c>
      <c r="G439" s="8" t="s">
        <v>62</v>
      </c>
      <c r="H439" s="6" t="s">
        <v>17</v>
      </c>
      <c r="I439" s="7" t="s">
        <v>18</v>
      </c>
      <c r="J439" s="2" t="s">
        <v>19</v>
      </c>
      <c r="K439" s="3"/>
      <c r="L439" s="2"/>
      <c r="M439" s="3"/>
    </row>
    <row r="440" customFormat="false" ht="15" hidden="false" customHeight="false" outlineLevel="0" collapsed="false">
      <c r="A440" s="2" t="n">
        <v>17</v>
      </c>
      <c r="B440" s="3" t="s">
        <v>530</v>
      </c>
      <c r="C440" s="3" t="s">
        <v>531</v>
      </c>
      <c r="D440" s="2" t="n">
        <v>439</v>
      </c>
      <c r="E440" s="2"/>
      <c r="F440" s="4" t="s">
        <v>532</v>
      </c>
      <c r="G440" s="8" t="s">
        <v>62</v>
      </c>
      <c r="H440" s="6" t="s">
        <v>17</v>
      </c>
      <c r="I440" s="7" t="s">
        <v>18</v>
      </c>
      <c r="J440" s="2" t="s">
        <v>19</v>
      </c>
      <c r="K440" s="3"/>
      <c r="L440" s="2"/>
      <c r="M440" s="3"/>
    </row>
    <row r="441" customFormat="false" ht="15" hidden="false" customHeight="false" outlineLevel="0" collapsed="false">
      <c r="A441" s="2" t="n">
        <v>17</v>
      </c>
      <c r="B441" s="3" t="s">
        <v>530</v>
      </c>
      <c r="C441" s="3" t="s">
        <v>531</v>
      </c>
      <c r="D441" s="2" t="n">
        <v>440</v>
      </c>
      <c r="E441" s="2"/>
      <c r="F441" s="4" t="s">
        <v>533</v>
      </c>
      <c r="G441" s="8" t="s">
        <v>62</v>
      </c>
      <c r="H441" s="6" t="s">
        <v>17</v>
      </c>
      <c r="I441" s="7" t="s">
        <v>18</v>
      </c>
      <c r="J441" s="2" t="s">
        <v>19</v>
      </c>
      <c r="K441" s="3"/>
      <c r="L441" s="2"/>
      <c r="M441" s="3"/>
    </row>
    <row r="442" customFormat="false" ht="15" hidden="false" customHeight="false" outlineLevel="0" collapsed="false">
      <c r="A442" s="2" t="n">
        <v>17</v>
      </c>
      <c r="B442" s="3" t="s">
        <v>530</v>
      </c>
      <c r="C442" s="3" t="s">
        <v>531</v>
      </c>
      <c r="D442" s="2" t="n">
        <v>441</v>
      </c>
      <c r="E442" s="2"/>
      <c r="F442" s="4" t="s">
        <v>534</v>
      </c>
      <c r="G442" s="8" t="s">
        <v>62</v>
      </c>
      <c r="H442" s="6" t="s">
        <v>17</v>
      </c>
      <c r="I442" s="7" t="s">
        <v>18</v>
      </c>
      <c r="J442" s="2" t="s">
        <v>19</v>
      </c>
      <c r="K442" s="3"/>
      <c r="L442" s="2"/>
      <c r="M442" s="3"/>
    </row>
    <row r="443" customFormat="false" ht="15" hidden="false" customHeight="false" outlineLevel="0" collapsed="false">
      <c r="A443" s="2" t="n">
        <v>17</v>
      </c>
      <c r="B443" s="3" t="s">
        <v>530</v>
      </c>
      <c r="C443" s="3" t="s">
        <v>531</v>
      </c>
      <c r="D443" s="2" t="n">
        <v>442</v>
      </c>
      <c r="E443" s="2"/>
      <c r="F443" s="4" t="s">
        <v>535</v>
      </c>
      <c r="G443" s="9" t="s">
        <v>100</v>
      </c>
      <c r="H443" s="6" t="s">
        <v>17</v>
      </c>
      <c r="I443" s="7" t="s">
        <v>18</v>
      </c>
      <c r="J443" s="2" t="s">
        <v>19</v>
      </c>
      <c r="K443" s="3"/>
      <c r="L443" s="2"/>
      <c r="M443" s="3"/>
    </row>
    <row r="444" customFormat="false" ht="15" hidden="false" customHeight="false" outlineLevel="0" collapsed="false">
      <c r="A444" s="2" t="n">
        <v>17</v>
      </c>
      <c r="B444" s="3" t="s">
        <v>530</v>
      </c>
      <c r="C444" s="3" t="s">
        <v>531</v>
      </c>
      <c r="D444" s="2" t="n">
        <v>443</v>
      </c>
      <c r="E444" s="2"/>
      <c r="F444" s="4" t="s">
        <v>536</v>
      </c>
      <c r="G444" s="8" t="s">
        <v>62</v>
      </c>
      <c r="H444" s="6" t="s">
        <v>17</v>
      </c>
      <c r="I444" s="7" t="s">
        <v>18</v>
      </c>
      <c r="J444" s="2" t="s">
        <v>19</v>
      </c>
      <c r="K444" s="3"/>
      <c r="L444" s="2"/>
      <c r="M444" s="3"/>
    </row>
    <row r="445" customFormat="false" ht="15" hidden="false" customHeight="false" outlineLevel="0" collapsed="false">
      <c r="A445" s="2" t="n">
        <v>17</v>
      </c>
      <c r="B445" s="3" t="s">
        <v>530</v>
      </c>
      <c r="C445" s="3" t="s">
        <v>531</v>
      </c>
      <c r="D445" s="2" t="n">
        <v>444</v>
      </c>
      <c r="E445" s="2"/>
      <c r="F445" s="4" t="s">
        <v>537</v>
      </c>
      <c r="G445" s="9" t="s">
        <v>100</v>
      </c>
      <c r="H445" s="6" t="s">
        <v>17</v>
      </c>
      <c r="I445" s="7" t="s">
        <v>18</v>
      </c>
      <c r="J445" s="2" t="s">
        <v>19</v>
      </c>
      <c r="K445" s="3"/>
      <c r="L445" s="2"/>
      <c r="M445" s="3"/>
    </row>
    <row r="446" customFormat="false" ht="15" hidden="false" customHeight="false" outlineLevel="0" collapsed="false">
      <c r="A446" s="2" t="n">
        <v>17</v>
      </c>
      <c r="B446" s="3" t="s">
        <v>530</v>
      </c>
      <c r="C446" s="3" t="s">
        <v>531</v>
      </c>
      <c r="D446" s="2" t="n">
        <v>445</v>
      </c>
      <c r="E446" s="2"/>
      <c r="F446" s="4" t="s">
        <v>538</v>
      </c>
      <c r="G446" s="9" t="s">
        <v>100</v>
      </c>
      <c r="H446" s="6" t="s">
        <v>17</v>
      </c>
      <c r="I446" s="7" t="s">
        <v>18</v>
      </c>
      <c r="J446" s="2" t="s">
        <v>19</v>
      </c>
      <c r="K446" s="3"/>
      <c r="L446" s="2"/>
      <c r="M446" s="3"/>
    </row>
    <row r="447" customFormat="false" ht="15" hidden="false" customHeight="false" outlineLevel="0" collapsed="false">
      <c r="A447" s="2" t="n">
        <v>18</v>
      </c>
      <c r="B447" s="3" t="s">
        <v>539</v>
      </c>
      <c r="C447" s="3" t="s">
        <v>540</v>
      </c>
      <c r="D447" s="2" t="n">
        <v>446</v>
      </c>
      <c r="E447" s="2"/>
      <c r="F447" s="4" t="s">
        <v>541</v>
      </c>
      <c r="G447" s="8" t="s">
        <v>62</v>
      </c>
      <c r="H447" s="6" t="s">
        <v>17</v>
      </c>
      <c r="I447" s="7" t="s">
        <v>18</v>
      </c>
      <c r="J447" s="2" t="s">
        <v>19</v>
      </c>
      <c r="K447" s="3"/>
      <c r="L447" s="2"/>
      <c r="M447" s="3"/>
    </row>
    <row r="448" customFormat="false" ht="15" hidden="false" customHeight="false" outlineLevel="0" collapsed="false">
      <c r="A448" s="2" t="n">
        <v>18</v>
      </c>
      <c r="B448" s="3" t="s">
        <v>539</v>
      </c>
      <c r="C448" s="3" t="s">
        <v>540</v>
      </c>
      <c r="D448" s="2" t="n">
        <v>447</v>
      </c>
      <c r="E448" s="2"/>
      <c r="F448" s="4" t="s">
        <v>542</v>
      </c>
      <c r="G448" s="8" t="s">
        <v>62</v>
      </c>
      <c r="H448" s="6" t="s">
        <v>17</v>
      </c>
      <c r="I448" s="7" t="s">
        <v>18</v>
      </c>
      <c r="J448" s="2" t="s">
        <v>19</v>
      </c>
      <c r="K448" s="3"/>
      <c r="L448" s="2"/>
      <c r="M448" s="3"/>
    </row>
    <row r="449" customFormat="false" ht="15" hidden="false" customHeight="false" outlineLevel="0" collapsed="false">
      <c r="A449" s="2" t="n">
        <v>18</v>
      </c>
      <c r="B449" s="3" t="s">
        <v>539</v>
      </c>
      <c r="C449" s="3" t="s">
        <v>540</v>
      </c>
      <c r="D449" s="2" t="n">
        <v>448</v>
      </c>
      <c r="E449" s="2"/>
      <c r="F449" s="4" t="s">
        <v>543</v>
      </c>
      <c r="G449" s="8" t="s">
        <v>62</v>
      </c>
      <c r="H449" s="6" t="s">
        <v>17</v>
      </c>
      <c r="I449" s="7" t="s">
        <v>18</v>
      </c>
      <c r="J449" s="2" t="s">
        <v>19</v>
      </c>
      <c r="K449" s="3"/>
      <c r="L449" s="2"/>
      <c r="M449" s="3"/>
    </row>
    <row r="450" customFormat="false" ht="15" hidden="false" customHeight="false" outlineLevel="0" collapsed="false">
      <c r="A450" s="2" t="n">
        <v>18</v>
      </c>
      <c r="B450" s="3" t="s">
        <v>539</v>
      </c>
      <c r="C450" s="3" t="s">
        <v>540</v>
      </c>
      <c r="D450" s="2" t="n">
        <v>449</v>
      </c>
      <c r="E450" s="2"/>
      <c r="F450" s="4" t="s">
        <v>544</v>
      </c>
      <c r="G450" s="9" t="s">
        <v>100</v>
      </c>
      <c r="H450" s="6" t="s">
        <v>17</v>
      </c>
      <c r="I450" s="7" t="s">
        <v>18</v>
      </c>
      <c r="J450" s="2" t="s">
        <v>19</v>
      </c>
      <c r="K450" s="3"/>
      <c r="L450" s="2"/>
      <c r="M450" s="3"/>
    </row>
    <row r="451" customFormat="false" ht="15" hidden="false" customHeight="false" outlineLevel="0" collapsed="false">
      <c r="A451" s="2" t="n">
        <v>18</v>
      </c>
      <c r="B451" s="3" t="s">
        <v>539</v>
      </c>
      <c r="C451" s="3" t="s">
        <v>540</v>
      </c>
      <c r="D451" s="2" t="n">
        <v>450</v>
      </c>
      <c r="E451" s="2"/>
      <c r="F451" s="4" t="s">
        <v>545</v>
      </c>
      <c r="G451" s="9" t="s">
        <v>100</v>
      </c>
      <c r="H451" s="6" t="s">
        <v>17</v>
      </c>
      <c r="I451" s="7" t="s">
        <v>18</v>
      </c>
      <c r="J451" s="2" t="s">
        <v>19</v>
      </c>
      <c r="K451" s="3"/>
      <c r="L451" s="2"/>
      <c r="M451" s="3"/>
    </row>
    <row r="452" customFormat="false" ht="15" hidden="false" customHeight="false" outlineLevel="0" collapsed="false">
      <c r="A452" s="2" t="n">
        <v>18</v>
      </c>
      <c r="B452" s="3" t="s">
        <v>539</v>
      </c>
      <c r="C452" s="3" t="s">
        <v>540</v>
      </c>
      <c r="D452" s="2" t="n">
        <v>451</v>
      </c>
      <c r="E452" s="2"/>
      <c r="F452" s="4" t="s">
        <v>546</v>
      </c>
      <c r="G452" s="9" t="s">
        <v>100</v>
      </c>
      <c r="H452" s="6" t="s">
        <v>17</v>
      </c>
      <c r="I452" s="7" t="s">
        <v>18</v>
      </c>
      <c r="J452" s="2" t="s">
        <v>19</v>
      </c>
      <c r="K452" s="3"/>
      <c r="L452" s="2"/>
      <c r="M452" s="3"/>
    </row>
    <row r="453" customFormat="false" ht="15" hidden="false" customHeight="false" outlineLevel="0" collapsed="false">
      <c r="A453" s="2" t="n">
        <v>18</v>
      </c>
      <c r="B453" s="3" t="s">
        <v>539</v>
      </c>
      <c r="C453" s="3" t="s">
        <v>540</v>
      </c>
      <c r="D453" s="2" t="n">
        <v>452</v>
      </c>
      <c r="E453" s="2"/>
      <c r="F453" s="4" t="s">
        <v>547</v>
      </c>
      <c r="G453" s="9" t="s">
        <v>100</v>
      </c>
      <c r="H453" s="6" t="s">
        <v>17</v>
      </c>
      <c r="I453" s="7" t="s">
        <v>18</v>
      </c>
      <c r="J453" s="2" t="s">
        <v>19</v>
      </c>
      <c r="K453" s="3"/>
      <c r="L453" s="2"/>
      <c r="M453" s="3"/>
    </row>
    <row r="454" customFormat="false" ht="15" hidden="false" customHeight="false" outlineLevel="0" collapsed="false">
      <c r="A454" s="2" t="n">
        <v>18</v>
      </c>
      <c r="B454" s="3" t="s">
        <v>539</v>
      </c>
      <c r="C454" s="3" t="s">
        <v>540</v>
      </c>
      <c r="D454" s="2" t="n">
        <v>453</v>
      </c>
      <c r="E454" s="2"/>
      <c r="F454" s="4" t="s">
        <v>548</v>
      </c>
      <c r="G454" s="9" t="s">
        <v>100</v>
      </c>
      <c r="H454" s="6" t="s">
        <v>17</v>
      </c>
      <c r="I454" s="7" t="s">
        <v>18</v>
      </c>
      <c r="J454" s="2" t="s">
        <v>19</v>
      </c>
      <c r="K454" s="3"/>
      <c r="L454" s="2"/>
      <c r="M454" s="3"/>
    </row>
    <row r="455" customFormat="false" ht="15" hidden="false" customHeight="false" outlineLevel="0" collapsed="false">
      <c r="A455" s="2" t="n">
        <v>18</v>
      </c>
      <c r="B455" s="3" t="s">
        <v>539</v>
      </c>
      <c r="C455" s="3" t="s">
        <v>540</v>
      </c>
      <c r="D455" s="2" t="n">
        <v>454</v>
      </c>
      <c r="E455" s="2"/>
      <c r="F455" s="4" t="s">
        <v>549</v>
      </c>
      <c r="G455" s="9" t="s">
        <v>100</v>
      </c>
      <c r="H455" s="6" t="s">
        <v>17</v>
      </c>
      <c r="I455" s="7" t="s">
        <v>18</v>
      </c>
      <c r="J455" s="2" t="s">
        <v>19</v>
      </c>
      <c r="K455" s="3"/>
      <c r="L455" s="2"/>
      <c r="M455" s="3"/>
    </row>
  </sheetData>
  <autoFilter ref="A1:M455"/>
  <conditionalFormatting sqref="E2:E455">
    <cfRule type="cellIs" priority="2" operator="equal" aboveAverage="0" equalAverage="0" bottom="0" percent="0" rank="0" text="" dxfId="7">
      <formula>"✓"</formula>
    </cfRule>
  </conditionalFormatting>
  <conditionalFormatting sqref="J2:J455">
    <cfRule type="cellIs" priority="3" operator="equal" aboveAverage="0" equalAverage="0" bottom="0" percent="0" rank="0" text="" dxfId="8">
      <formula>"Solved"</formula>
    </cfRule>
    <cfRule type="cellIs" priority="4" operator="equal" aboveAverage="0" equalAverage="0" bottom="0" percent="0" rank="0" text="" dxfId="9">
      <formula>"Revisit"</formula>
    </cfRule>
  </conditionalFormatting>
  <dataValidations count="3">
    <dataValidation allowBlank="true" errorStyle="stop" operator="between" showDropDown="false" showErrorMessage="false" showInputMessage="false" sqref="E2:E455" type="list">
      <formula1>"✓"</formula1>
      <formula2>0</formula2>
    </dataValidation>
    <dataValidation allowBlank="true" errorStyle="stop" operator="between" showDropDown="false" showErrorMessage="false" showInputMessage="false" sqref="J2:J455" type="list">
      <formula1>"Not Started,Solved,Revisit"</formula1>
      <formula2>0</formula2>
    </dataValidation>
    <dataValidation allowBlank="true" errorStyle="stop" operator="between" showDropDown="false" showErrorMessage="false" showInputMessage="false" sqref="L2:L455" type="list">
      <formula1>"Yes,No"</formula1>
      <formula2>0</formula2>
    </dataValidation>
  </dataValidations>
  <hyperlinks>
    <hyperlink ref="H2" r:id="rId1" display="🔗 open"/>
    <hyperlink ref="I2" r:id="rId2" display="▶ video"/>
    <hyperlink ref="H3" r:id="rId3" display="🔗 open"/>
    <hyperlink ref="I3" r:id="rId4" display="▶ video"/>
    <hyperlink ref="H4" r:id="rId5" display="🔗 open"/>
    <hyperlink ref="I4" r:id="rId6" display="▶ video"/>
    <hyperlink ref="H5" r:id="rId7" display="🔗 open"/>
    <hyperlink ref="I5" r:id="rId8" display="▶ video"/>
    <hyperlink ref="H6" r:id="rId9" display="🔗 open"/>
    <hyperlink ref="I6" r:id="rId10" display="▶ video"/>
    <hyperlink ref="H7" r:id="rId11" display="🔗 open"/>
    <hyperlink ref="I7" r:id="rId12" display="▶ video"/>
    <hyperlink ref="H8" r:id="rId13" display="🔗 open"/>
    <hyperlink ref="I8" r:id="rId14" display="▶ video"/>
    <hyperlink ref="H9" r:id="rId15" display="🔗 open"/>
    <hyperlink ref="I9" r:id="rId16" display="▶ video"/>
    <hyperlink ref="H10" r:id="rId17" display="🔗 open"/>
    <hyperlink ref="I10" r:id="rId18" display="▶ video"/>
    <hyperlink ref="H11" r:id="rId19" display="🔗 open"/>
    <hyperlink ref="I11" r:id="rId20" display="▶ video"/>
    <hyperlink ref="H12" r:id="rId21" display="🔗 open"/>
    <hyperlink ref="I12" r:id="rId22" display="▶ video"/>
    <hyperlink ref="H13" r:id="rId23" display="🔗 open"/>
    <hyperlink ref="I13" r:id="rId24" display="▶ video"/>
    <hyperlink ref="H14" r:id="rId25" display="🔗 open"/>
    <hyperlink ref="I14" r:id="rId26" display="▶ video"/>
    <hyperlink ref="H15" r:id="rId27" display="🔗 open"/>
    <hyperlink ref="I15" r:id="rId28" display="▶ video"/>
    <hyperlink ref="H16" r:id="rId29" display="🔗 open"/>
    <hyperlink ref="I16" r:id="rId30" display="▶ video"/>
    <hyperlink ref="H17" r:id="rId31" display="🔗 open"/>
    <hyperlink ref="I17" r:id="rId32" display="▶ video"/>
    <hyperlink ref="H18" r:id="rId33" display="🔗 open"/>
    <hyperlink ref="I18" r:id="rId34" display="▶ video"/>
    <hyperlink ref="H19" r:id="rId35" display="🔗 open"/>
    <hyperlink ref="I19" r:id="rId36" display="▶ video"/>
    <hyperlink ref="H20" r:id="rId37" display="🔗 open"/>
    <hyperlink ref="I20" r:id="rId38" display="▶ video"/>
    <hyperlink ref="H21" r:id="rId39" display="🔗 open"/>
    <hyperlink ref="I21" r:id="rId40" display="▶ video"/>
    <hyperlink ref="H22" r:id="rId41" display="🔗 open"/>
    <hyperlink ref="I22" r:id="rId42" display="▶ video"/>
    <hyperlink ref="H23" r:id="rId43" display="🔗 open"/>
    <hyperlink ref="I23" r:id="rId44" display="▶ video"/>
    <hyperlink ref="H24" r:id="rId45" display="🔗 open"/>
    <hyperlink ref="I24" r:id="rId46" display="▶ video"/>
    <hyperlink ref="H25" r:id="rId47" display="🔗 open"/>
    <hyperlink ref="I25" r:id="rId48" display="▶ video"/>
    <hyperlink ref="H26" r:id="rId49" display="🔗 open"/>
    <hyperlink ref="I26" r:id="rId50" display="▶ video"/>
    <hyperlink ref="H27" r:id="rId51" display="🔗 open"/>
    <hyperlink ref="I27" r:id="rId52" display="▶ video"/>
    <hyperlink ref="H28" r:id="rId53" display="🔗 open"/>
    <hyperlink ref="I28" r:id="rId54" display="▶ video"/>
    <hyperlink ref="H29" r:id="rId55" display="🔗 open"/>
    <hyperlink ref="I29" r:id="rId56" display="▶ video"/>
    <hyperlink ref="H30" r:id="rId57" display="🔗 open"/>
    <hyperlink ref="I30" r:id="rId58" display="▶ video"/>
    <hyperlink ref="H31" r:id="rId59" display="🔗 open"/>
    <hyperlink ref="I31" r:id="rId60" display="▶ video"/>
    <hyperlink ref="H32" r:id="rId61" display="🔗 open"/>
    <hyperlink ref="I32" r:id="rId62" display="▶ video"/>
    <hyperlink ref="H33" r:id="rId63" display="🔗 open"/>
    <hyperlink ref="I33" r:id="rId64" display="▶ video"/>
    <hyperlink ref="H34" r:id="rId65" display="🔗 open"/>
    <hyperlink ref="I34" r:id="rId66" display="▶ video"/>
    <hyperlink ref="H35" r:id="rId67" display="🔗 open"/>
    <hyperlink ref="I35" r:id="rId68" display="▶ video"/>
    <hyperlink ref="H36" r:id="rId69" display="🔗 open"/>
    <hyperlink ref="I36" r:id="rId70" display="▶ video"/>
    <hyperlink ref="H37" r:id="rId71" display="🔗 open"/>
    <hyperlink ref="I37" r:id="rId72" display="▶ video"/>
    <hyperlink ref="H38" r:id="rId73" display="🔗 open"/>
    <hyperlink ref="I38" r:id="rId74" display="▶ video"/>
    <hyperlink ref="H39" r:id="rId75" display="🔗 open"/>
    <hyperlink ref="I39" r:id="rId76" display="▶ video"/>
    <hyperlink ref="H40" r:id="rId77" display="🔗 open"/>
    <hyperlink ref="I40" r:id="rId78" display="▶ video"/>
    <hyperlink ref="H41" r:id="rId79" display="🔗 open"/>
    <hyperlink ref="I41" r:id="rId80" display="▶ video"/>
    <hyperlink ref="H42" r:id="rId81" display="🔗 open"/>
    <hyperlink ref="I42" r:id="rId82" display="▶ video"/>
    <hyperlink ref="H43" r:id="rId83" display="🔗 open"/>
    <hyperlink ref="I43" r:id="rId84" display="▶ video"/>
    <hyperlink ref="H44" r:id="rId85" display="🔗 open"/>
    <hyperlink ref="I44" r:id="rId86" display="▶ video"/>
    <hyperlink ref="H45" r:id="rId87" display="🔗 open"/>
    <hyperlink ref="I45" r:id="rId88" display="▶ video"/>
    <hyperlink ref="H46" r:id="rId89" display="🔗 open"/>
    <hyperlink ref="I46" r:id="rId90" display="▶ video"/>
    <hyperlink ref="H47" r:id="rId91" display="🔗 open"/>
    <hyperlink ref="I47" r:id="rId92" display="▶ video"/>
    <hyperlink ref="H48" r:id="rId93" display="🔗 open"/>
    <hyperlink ref="I48" r:id="rId94" display="▶ video"/>
    <hyperlink ref="H49" r:id="rId95" display="🔗 open"/>
    <hyperlink ref="I49" r:id="rId96" display="▶ video"/>
    <hyperlink ref="H50" r:id="rId97" display="🔗 open"/>
    <hyperlink ref="I50" r:id="rId98" display="▶ video"/>
    <hyperlink ref="H51" r:id="rId99" display="🔗 open"/>
    <hyperlink ref="I51" r:id="rId100" display="▶ video"/>
    <hyperlink ref="H52" r:id="rId101" display="🔗 open"/>
    <hyperlink ref="I52" r:id="rId102" display="▶ video"/>
    <hyperlink ref="H53" r:id="rId103" display="🔗 open"/>
    <hyperlink ref="I53" r:id="rId104" display="▶ video"/>
    <hyperlink ref="H54" r:id="rId105" display="🔗 open"/>
    <hyperlink ref="I54" r:id="rId106" display="▶ video"/>
    <hyperlink ref="H55" r:id="rId107" display="🔗 open"/>
    <hyperlink ref="I55" r:id="rId108" display="▶ video"/>
    <hyperlink ref="H56" r:id="rId109" display="🔗 open"/>
    <hyperlink ref="I56" r:id="rId110" display="▶ video"/>
    <hyperlink ref="H57" r:id="rId111" display="🔗 open"/>
    <hyperlink ref="I57" r:id="rId112" display="▶ video"/>
    <hyperlink ref="H58" r:id="rId113" display="🔗 open"/>
    <hyperlink ref="I58" r:id="rId114" display="▶ video"/>
    <hyperlink ref="H59" r:id="rId115" display="🔗 open"/>
    <hyperlink ref="I59" r:id="rId116" display="▶ video"/>
    <hyperlink ref="H60" r:id="rId117" display="🔗 open"/>
    <hyperlink ref="I60" r:id="rId118" display="▶ video"/>
    <hyperlink ref="H61" r:id="rId119" display="🔗 open"/>
    <hyperlink ref="I61" r:id="rId120" display="▶ video"/>
    <hyperlink ref="H62" r:id="rId121" display="🔗 open"/>
    <hyperlink ref="I62" r:id="rId122" display="▶ video"/>
    <hyperlink ref="H63" r:id="rId123" display="🔗 open"/>
    <hyperlink ref="I63" r:id="rId124" display="▶ video"/>
    <hyperlink ref="H64" r:id="rId125" display="🔗 open"/>
    <hyperlink ref="I64" r:id="rId126" display="▶ video"/>
    <hyperlink ref="H65" r:id="rId127" display="🔗 open"/>
    <hyperlink ref="I65" r:id="rId128" display="▶ video"/>
    <hyperlink ref="H66" r:id="rId129" display="🔗 open"/>
    <hyperlink ref="I66" r:id="rId130" display="▶ video"/>
    <hyperlink ref="H67" r:id="rId131" display="🔗 open"/>
    <hyperlink ref="I67" r:id="rId132" display="▶ video"/>
    <hyperlink ref="H68" r:id="rId133" display="🔗 open"/>
    <hyperlink ref="I68" r:id="rId134" display="▶ video"/>
    <hyperlink ref="H69" r:id="rId135" display="🔗 open"/>
    <hyperlink ref="I69" r:id="rId136" display="▶ video"/>
    <hyperlink ref="H70" r:id="rId137" display="🔗 open"/>
    <hyperlink ref="I70" r:id="rId138" display="▶ video"/>
    <hyperlink ref="H71" r:id="rId139" display="🔗 open"/>
    <hyperlink ref="I71" r:id="rId140" display="▶ video"/>
    <hyperlink ref="H72" r:id="rId141" display="🔗 open"/>
    <hyperlink ref="I72" r:id="rId142" display="▶ video"/>
    <hyperlink ref="H73" r:id="rId143" display="🔗 open"/>
    <hyperlink ref="I73" r:id="rId144" display="▶ video"/>
    <hyperlink ref="H74" r:id="rId145" display="🔗 open"/>
    <hyperlink ref="I74" r:id="rId146" display="▶ video"/>
    <hyperlink ref="H75" r:id="rId147" display="🔗 open"/>
    <hyperlink ref="I75" r:id="rId148" display="▶ video"/>
    <hyperlink ref="H76" r:id="rId149" display="🔗 open"/>
    <hyperlink ref="I76" r:id="rId150" display="▶ video"/>
    <hyperlink ref="H77" r:id="rId151" display="🔗 open"/>
    <hyperlink ref="I77" r:id="rId152" display="▶ video"/>
    <hyperlink ref="H78" r:id="rId153" display="🔗 open"/>
    <hyperlink ref="I78" r:id="rId154" display="▶ video"/>
    <hyperlink ref="H79" r:id="rId155" display="🔗 open"/>
    <hyperlink ref="I79" r:id="rId156" display="▶ video"/>
    <hyperlink ref="H80" r:id="rId157" display="🔗 open"/>
    <hyperlink ref="I80" r:id="rId158" display="▶ video"/>
    <hyperlink ref="H81" r:id="rId159" display="🔗 open"/>
    <hyperlink ref="I81" r:id="rId160" display="▶ video"/>
    <hyperlink ref="H82" r:id="rId161" display="🔗 open"/>
    <hyperlink ref="I82" r:id="rId162" display="▶ video"/>
    <hyperlink ref="H83" r:id="rId163" display="🔗 open"/>
    <hyperlink ref="I83" r:id="rId164" display="▶ video"/>
    <hyperlink ref="H84" r:id="rId165" display="🔗 open"/>
    <hyperlink ref="I84" r:id="rId166" display="▶ video"/>
    <hyperlink ref="H85" r:id="rId167" display="🔗 open"/>
    <hyperlink ref="I85" r:id="rId168" display="▶ video"/>
    <hyperlink ref="H86" r:id="rId169" display="🔗 open"/>
    <hyperlink ref="I86" r:id="rId170" display="▶ video"/>
    <hyperlink ref="H87" r:id="rId171" display="🔗 open"/>
    <hyperlink ref="I87" r:id="rId172" display="▶ video"/>
    <hyperlink ref="H88" r:id="rId173" display="🔗 open"/>
    <hyperlink ref="I88" r:id="rId174" display="▶ video"/>
    <hyperlink ref="H89" r:id="rId175" display="🔗 open"/>
    <hyperlink ref="I89" r:id="rId176" display="▶ video"/>
    <hyperlink ref="H90" r:id="rId177" display="🔗 open"/>
    <hyperlink ref="I90" r:id="rId178" display="▶ video"/>
    <hyperlink ref="H91" r:id="rId179" display="🔗 open"/>
    <hyperlink ref="I91" r:id="rId180" display="▶ video"/>
    <hyperlink ref="H92" r:id="rId181" display="🔗 open"/>
    <hyperlink ref="I92" r:id="rId182" display="▶ video"/>
    <hyperlink ref="H93" r:id="rId183" display="🔗 open"/>
    <hyperlink ref="I93" r:id="rId184" display="▶ video"/>
    <hyperlink ref="H94" r:id="rId185" display="🔗 open"/>
    <hyperlink ref="I94" r:id="rId186" display="▶ video"/>
    <hyperlink ref="H95" r:id="rId187" display="🔗 open"/>
    <hyperlink ref="I95" r:id="rId188" display="▶ video"/>
    <hyperlink ref="H96" r:id="rId189" display="🔗 open"/>
    <hyperlink ref="I96" r:id="rId190" display="▶ video"/>
    <hyperlink ref="H97" r:id="rId191" display="🔗 open"/>
    <hyperlink ref="I97" r:id="rId192" display="▶ video"/>
    <hyperlink ref="H98" r:id="rId193" display="🔗 open"/>
    <hyperlink ref="I98" r:id="rId194" display="▶ video"/>
    <hyperlink ref="H99" r:id="rId195" display="🔗 open"/>
    <hyperlink ref="I99" r:id="rId196" display="▶ video"/>
    <hyperlink ref="H100" r:id="rId197" display="🔗 open"/>
    <hyperlink ref="I100" r:id="rId198" display="▶ video"/>
    <hyperlink ref="H101" r:id="rId199" display="🔗 open"/>
    <hyperlink ref="I101" r:id="rId200" display="▶ video"/>
    <hyperlink ref="H102" r:id="rId201" display="🔗 open"/>
    <hyperlink ref="I102" r:id="rId202" display="▶ video"/>
    <hyperlink ref="H103" r:id="rId203" display="🔗 open"/>
    <hyperlink ref="I103" r:id="rId204" display="▶ video"/>
    <hyperlink ref="H104" r:id="rId205" display="🔗 open"/>
    <hyperlink ref="I104" r:id="rId206" display="▶ video"/>
    <hyperlink ref="H105" r:id="rId207" display="🔗 open"/>
    <hyperlink ref="I105" r:id="rId208" display="▶ video"/>
    <hyperlink ref="H106" r:id="rId209" display="🔗 open"/>
    <hyperlink ref="I106" r:id="rId210" display="▶ video"/>
    <hyperlink ref="H107" r:id="rId211" display="🔗 open"/>
    <hyperlink ref="I107" r:id="rId212" display="▶ video"/>
    <hyperlink ref="H108" r:id="rId213" display="🔗 open"/>
    <hyperlink ref="I108" r:id="rId214" display="▶ video"/>
    <hyperlink ref="H109" r:id="rId215" display="🔗 open"/>
    <hyperlink ref="I109" r:id="rId216" display="▶ video"/>
    <hyperlink ref="H110" r:id="rId217" display="🔗 open"/>
    <hyperlink ref="I110" r:id="rId218" display="▶ video"/>
    <hyperlink ref="H111" r:id="rId219" display="🔗 open"/>
    <hyperlink ref="I111" r:id="rId220" display="▶ video"/>
    <hyperlink ref="H112" r:id="rId221" display="🔗 open"/>
    <hyperlink ref="I112" r:id="rId222" display="▶ video"/>
    <hyperlink ref="H113" r:id="rId223" display="🔗 open"/>
    <hyperlink ref="I113" r:id="rId224" display="▶ video"/>
    <hyperlink ref="H114" r:id="rId225" display="🔗 open"/>
    <hyperlink ref="I114" r:id="rId226" display="▶ video"/>
    <hyperlink ref="H115" r:id="rId227" display="🔗 open"/>
    <hyperlink ref="I115" r:id="rId228" display="▶ video"/>
    <hyperlink ref="H116" r:id="rId229" display="🔗 open"/>
    <hyperlink ref="I116" r:id="rId230" display="▶ video"/>
    <hyperlink ref="H117" r:id="rId231" display="🔗 open"/>
    <hyperlink ref="I117" r:id="rId232" display="▶ video"/>
    <hyperlink ref="H118" r:id="rId233" display="🔗 open"/>
    <hyperlink ref="I118" r:id="rId234" display="▶ video"/>
    <hyperlink ref="H119" r:id="rId235" display="🔗 open"/>
    <hyperlink ref="I119" r:id="rId236" display="▶ video"/>
    <hyperlink ref="H120" r:id="rId237" display="🔗 open"/>
    <hyperlink ref="I120" r:id="rId238" display="▶ video"/>
    <hyperlink ref="H121" r:id="rId239" display="🔗 open"/>
    <hyperlink ref="I121" r:id="rId240" display="▶ video"/>
    <hyperlink ref="H122" r:id="rId241" display="🔗 open"/>
    <hyperlink ref="I122" r:id="rId242" display="▶ video"/>
    <hyperlink ref="H123" r:id="rId243" display="🔗 open"/>
    <hyperlink ref="I123" r:id="rId244" display="▶ video"/>
    <hyperlink ref="H124" r:id="rId245" display="🔗 open"/>
    <hyperlink ref="I124" r:id="rId246" display="▶ video"/>
    <hyperlink ref="H125" r:id="rId247" display="🔗 open"/>
    <hyperlink ref="I125" r:id="rId248" display="▶ video"/>
    <hyperlink ref="H126" r:id="rId249" display="🔗 open"/>
    <hyperlink ref="I126" r:id="rId250" display="▶ video"/>
    <hyperlink ref="H127" r:id="rId251" display="🔗 open"/>
    <hyperlink ref="I127" r:id="rId252" display="▶ video"/>
    <hyperlink ref="H128" r:id="rId253" display="🔗 open"/>
    <hyperlink ref="I128" r:id="rId254" display="▶ video"/>
    <hyperlink ref="H129" r:id="rId255" display="🔗 open"/>
    <hyperlink ref="I129" r:id="rId256" display="▶ video"/>
    <hyperlink ref="H130" r:id="rId257" display="🔗 open"/>
    <hyperlink ref="I130" r:id="rId258" display="▶ video"/>
    <hyperlink ref="H131" r:id="rId259" display="🔗 open"/>
    <hyperlink ref="I131" r:id="rId260" display="▶ video"/>
    <hyperlink ref="H132" r:id="rId261" display="🔗 open"/>
    <hyperlink ref="I132" r:id="rId262" display="▶ video"/>
    <hyperlink ref="H133" r:id="rId263" display="🔗 open"/>
    <hyperlink ref="I133" r:id="rId264" display="▶ video"/>
    <hyperlink ref="H134" r:id="rId265" display="🔗 open"/>
    <hyperlink ref="I134" r:id="rId266" display="▶ video"/>
    <hyperlink ref="H135" r:id="rId267" display="🔗 open"/>
    <hyperlink ref="I135" r:id="rId268" display="▶ video"/>
    <hyperlink ref="H136" r:id="rId269" display="🔗 open"/>
    <hyperlink ref="I136" r:id="rId270" display="▶ video"/>
    <hyperlink ref="H137" r:id="rId271" display="🔗 open"/>
    <hyperlink ref="I137" r:id="rId272" display="▶ video"/>
    <hyperlink ref="H138" r:id="rId273" display="🔗 open"/>
    <hyperlink ref="I138" r:id="rId274" display="▶ video"/>
    <hyperlink ref="H139" r:id="rId275" display="🔗 open"/>
    <hyperlink ref="I139" r:id="rId276" display="▶ video"/>
    <hyperlink ref="H140" r:id="rId277" display="🔗 open"/>
    <hyperlink ref="I140" r:id="rId278" display="▶ video"/>
    <hyperlink ref="H141" r:id="rId279" display="🔗 open"/>
    <hyperlink ref="I141" r:id="rId280" display="▶ video"/>
    <hyperlink ref="H142" r:id="rId281" display="🔗 open"/>
    <hyperlink ref="I142" r:id="rId282" display="▶ video"/>
    <hyperlink ref="H143" r:id="rId283" display="🔗 open"/>
    <hyperlink ref="I143" r:id="rId284" display="▶ video"/>
    <hyperlink ref="H144" r:id="rId285" display="🔗 open"/>
    <hyperlink ref="I144" r:id="rId286" display="▶ video"/>
    <hyperlink ref="H145" r:id="rId287" display="🔗 open"/>
    <hyperlink ref="I145" r:id="rId288" display="▶ video"/>
    <hyperlink ref="H146" r:id="rId289" display="🔗 open"/>
    <hyperlink ref="I146" r:id="rId290" display="▶ video"/>
    <hyperlink ref="H147" r:id="rId291" display="🔗 open"/>
    <hyperlink ref="I147" r:id="rId292" display="▶ video"/>
    <hyperlink ref="H148" r:id="rId293" display="🔗 open"/>
    <hyperlink ref="I148" r:id="rId294" display="▶ video"/>
    <hyperlink ref="H149" r:id="rId295" display="🔗 open"/>
    <hyperlink ref="I149" r:id="rId296" display="▶ video"/>
    <hyperlink ref="H150" r:id="rId297" display="🔗 open"/>
    <hyperlink ref="I150" r:id="rId298" display="▶ video"/>
    <hyperlink ref="H151" r:id="rId299" display="🔗 open"/>
    <hyperlink ref="I151" r:id="rId300" display="▶ video"/>
    <hyperlink ref="H152" r:id="rId301" display="🔗 open"/>
    <hyperlink ref="I152" r:id="rId302" display="▶ video"/>
    <hyperlink ref="H153" r:id="rId303" display="🔗 open"/>
    <hyperlink ref="I153" r:id="rId304" display="▶ video"/>
    <hyperlink ref="H154" r:id="rId305" display="🔗 open"/>
    <hyperlink ref="I154" r:id="rId306" display="▶ video"/>
    <hyperlink ref="H155" r:id="rId307" display="🔗 open"/>
    <hyperlink ref="I155" r:id="rId308" display="▶ video"/>
    <hyperlink ref="H156" r:id="rId309" display="🔗 open"/>
    <hyperlink ref="I156" r:id="rId310" display="▶ video"/>
    <hyperlink ref="H157" r:id="rId311" display="🔗 open"/>
    <hyperlink ref="I157" r:id="rId312" display="▶ video"/>
    <hyperlink ref="H158" r:id="rId313" display="🔗 open"/>
    <hyperlink ref="I158" r:id="rId314" display="▶ video"/>
    <hyperlink ref="H159" r:id="rId315" display="🔗 open"/>
    <hyperlink ref="I159" r:id="rId316" display="▶ video"/>
    <hyperlink ref="H160" r:id="rId317" display="🔗 open"/>
    <hyperlink ref="I160" r:id="rId318" display="▶ video"/>
    <hyperlink ref="H161" r:id="rId319" display="🔗 open"/>
    <hyperlink ref="I161" r:id="rId320" display="▶ video"/>
    <hyperlink ref="H162" r:id="rId321" display="🔗 open"/>
    <hyperlink ref="I162" r:id="rId322" display="▶ video"/>
    <hyperlink ref="H163" r:id="rId323" display="🔗 open"/>
    <hyperlink ref="I163" r:id="rId324" display="▶ video"/>
    <hyperlink ref="H164" r:id="rId325" display="🔗 open"/>
    <hyperlink ref="I164" r:id="rId326" display="▶ video"/>
    <hyperlink ref="H165" r:id="rId327" display="🔗 open"/>
    <hyperlink ref="I165" r:id="rId328" display="▶ video"/>
    <hyperlink ref="H166" r:id="rId329" display="🔗 open"/>
    <hyperlink ref="I166" r:id="rId330" display="▶ video"/>
    <hyperlink ref="H167" r:id="rId331" display="🔗 open"/>
    <hyperlink ref="I167" r:id="rId332" display="▶ video"/>
    <hyperlink ref="H168" r:id="rId333" display="🔗 open"/>
    <hyperlink ref="I168" r:id="rId334" display="▶ video"/>
    <hyperlink ref="H169" r:id="rId335" display="🔗 open"/>
    <hyperlink ref="I169" r:id="rId336" display="▶ video"/>
    <hyperlink ref="H170" r:id="rId337" display="🔗 open"/>
    <hyperlink ref="I170" r:id="rId338" display="▶ video"/>
    <hyperlink ref="H171" r:id="rId339" display="🔗 open"/>
    <hyperlink ref="I171" r:id="rId340" display="▶ video"/>
    <hyperlink ref="H172" r:id="rId341" display="🔗 open"/>
    <hyperlink ref="I172" r:id="rId342" display="▶ video"/>
    <hyperlink ref="H173" r:id="rId343" display="🔗 open"/>
    <hyperlink ref="I173" r:id="rId344" display="▶ video"/>
    <hyperlink ref="H174" r:id="rId345" display="🔗 open"/>
    <hyperlink ref="I174" r:id="rId346" display="▶ video"/>
    <hyperlink ref="H175" r:id="rId347" display="🔗 open"/>
    <hyperlink ref="I175" r:id="rId348" display="▶ video"/>
    <hyperlink ref="H176" r:id="rId349" display="🔗 open"/>
    <hyperlink ref="I176" r:id="rId350" display="▶ video"/>
    <hyperlink ref="H177" r:id="rId351" display="🔗 open"/>
    <hyperlink ref="I177" r:id="rId352" display="▶ video"/>
    <hyperlink ref="H178" r:id="rId353" display="🔗 open"/>
    <hyperlink ref="I178" r:id="rId354" display="▶ video"/>
    <hyperlink ref="H179" r:id="rId355" display="🔗 open"/>
    <hyperlink ref="I179" r:id="rId356" display="▶ video"/>
    <hyperlink ref="H180" r:id="rId357" display="🔗 open"/>
    <hyperlink ref="I180" r:id="rId358" display="▶ video"/>
    <hyperlink ref="H181" r:id="rId359" display="🔗 open"/>
    <hyperlink ref="I181" r:id="rId360" display="▶ video"/>
    <hyperlink ref="H182" r:id="rId361" display="🔗 open"/>
    <hyperlink ref="I182" r:id="rId362" display="▶ video"/>
    <hyperlink ref="H183" r:id="rId363" display="🔗 open"/>
    <hyperlink ref="I183" r:id="rId364" display="▶ video"/>
    <hyperlink ref="H184" r:id="rId365" display="🔗 open"/>
    <hyperlink ref="I184" r:id="rId366" display="▶ video"/>
    <hyperlink ref="H185" r:id="rId367" display="🔗 open"/>
    <hyperlink ref="I185" r:id="rId368" display="▶ video"/>
    <hyperlink ref="H186" r:id="rId369" display="🔗 open"/>
    <hyperlink ref="I186" r:id="rId370" display="▶ video"/>
    <hyperlink ref="H187" r:id="rId371" display="🔗 open"/>
    <hyperlink ref="I187" r:id="rId372" display="▶ video"/>
    <hyperlink ref="H188" r:id="rId373" display="🔗 open"/>
    <hyperlink ref="I188" r:id="rId374" display="▶ video"/>
    <hyperlink ref="H189" r:id="rId375" display="🔗 open"/>
    <hyperlink ref="I189" r:id="rId376" display="▶ video"/>
    <hyperlink ref="H190" r:id="rId377" display="🔗 open"/>
    <hyperlink ref="I190" r:id="rId378" display="▶ video"/>
    <hyperlink ref="H191" r:id="rId379" display="🔗 open"/>
    <hyperlink ref="I191" r:id="rId380" display="▶ video"/>
    <hyperlink ref="H192" r:id="rId381" display="🔗 open"/>
    <hyperlink ref="I192" r:id="rId382" display="▶ video"/>
    <hyperlink ref="H193" r:id="rId383" display="🔗 open"/>
    <hyperlink ref="I193" r:id="rId384" display="▶ video"/>
    <hyperlink ref="H194" r:id="rId385" display="🔗 open"/>
    <hyperlink ref="I194" r:id="rId386" display="▶ video"/>
    <hyperlink ref="H195" r:id="rId387" display="🔗 open"/>
    <hyperlink ref="I195" r:id="rId388" display="▶ video"/>
    <hyperlink ref="H196" r:id="rId389" display="🔗 open"/>
    <hyperlink ref="I196" r:id="rId390" display="▶ video"/>
    <hyperlink ref="H197" r:id="rId391" display="🔗 open"/>
    <hyperlink ref="I197" r:id="rId392" display="▶ video"/>
    <hyperlink ref="H198" r:id="rId393" display="🔗 open"/>
    <hyperlink ref="I198" r:id="rId394" display="▶ video"/>
    <hyperlink ref="H199" r:id="rId395" display="🔗 open"/>
    <hyperlink ref="I199" r:id="rId396" display="▶ video"/>
    <hyperlink ref="H200" r:id="rId397" display="🔗 open"/>
    <hyperlink ref="I200" r:id="rId398" display="▶ video"/>
    <hyperlink ref="H201" r:id="rId399" display="🔗 open"/>
    <hyperlink ref="I201" r:id="rId400" display="▶ video"/>
    <hyperlink ref="H202" r:id="rId401" display="🔗 open"/>
    <hyperlink ref="I202" r:id="rId402" display="▶ video"/>
    <hyperlink ref="H203" r:id="rId403" display="🔗 open"/>
    <hyperlink ref="I203" r:id="rId404" display="▶ video"/>
    <hyperlink ref="H204" r:id="rId405" display="🔗 open"/>
    <hyperlink ref="I204" r:id="rId406" display="▶ video"/>
    <hyperlink ref="H205" r:id="rId407" display="🔗 open"/>
    <hyperlink ref="I205" r:id="rId408" display="▶ video"/>
    <hyperlink ref="H206" r:id="rId409" display="🔗 open"/>
    <hyperlink ref="I206" r:id="rId410" display="▶ video"/>
    <hyperlink ref="H207" r:id="rId411" display="🔗 open"/>
    <hyperlink ref="I207" r:id="rId412" display="▶ video"/>
    <hyperlink ref="H208" r:id="rId413" display="🔗 open"/>
    <hyperlink ref="I208" r:id="rId414" display="▶ video"/>
    <hyperlink ref="H209" r:id="rId415" display="🔗 open"/>
    <hyperlink ref="I209" r:id="rId416" display="▶ video"/>
    <hyperlink ref="H210" r:id="rId417" display="🔗 open"/>
    <hyperlink ref="I210" r:id="rId418" display="▶ video"/>
    <hyperlink ref="H211" r:id="rId419" display="🔗 open"/>
    <hyperlink ref="I211" r:id="rId420" display="▶ video"/>
    <hyperlink ref="H212" r:id="rId421" display="🔗 open"/>
    <hyperlink ref="I212" r:id="rId422" display="▶ video"/>
    <hyperlink ref="H213" r:id="rId423" display="🔗 open"/>
    <hyperlink ref="I213" r:id="rId424" display="▶ video"/>
    <hyperlink ref="H214" r:id="rId425" display="🔗 open"/>
    <hyperlink ref="I214" r:id="rId426" display="▶ video"/>
    <hyperlink ref="H215" r:id="rId427" display="🔗 open"/>
    <hyperlink ref="I215" r:id="rId428" display="▶ video"/>
    <hyperlink ref="H216" r:id="rId429" display="🔗 open"/>
    <hyperlink ref="I216" r:id="rId430" display="▶ video"/>
    <hyperlink ref="H217" r:id="rId431" display="🔗 open"/>
    <hyperlink ref="I217" r:id="rId432" display="▶ video"/>
    <hyperlink ref="H218" r:id="rId433" display="🔗 open"/>
    <hyperlink ref="I218" r:id="rId434" display="▶ video"/>
    <hyperlink ref="H219" r:id="rId435" display="🔗 open"/>
    <hyperlink ref="I219" r:id="rId436" display="▶ video"/>
    <hyperlink ref="H220" r:id="rId437" display="🔗 open"/>
    <hyperlink ref="I220" r:id="rId438" display="▶ video"/>
    <hyperlink ref="H221" r:id="rId439" display="🔗 open"/>
    <hyperlink ref="I221" r:id="rId440" display="▶ video"/>
    <hyperlink ref="H222" r:id="rId441" display="🔗 open"/>
    <hyperlink ref="I222" r:id="rId442" display="▶ video"/>
    <hyperlink ref="H223" r:id="rId443" display="🔗 open"/>
    <hyperlink ref="I223" r:id="rId444" display="▶ video"/>
    <hyperlink ref="H224" r:id="rId445" display="🔗 open"/>
    <hyperlink ref="I224" r:id="rId446" display="▶ video"/>
    <hyperlink ref="H225" r:id="rId447" display="🔗 open"/>
    <hyperlink ref="I225" r:id="rId448" display="▶ video"/>
    <hyperlink ref="H226" r:id="rId449" display="🔗 open"/>
    <hyperlink ref="I226" r:id="rId450" display="▶ video"/>
    <hyperlink ref="H227" r:id="rId451" display="🔗 open"/>
    <hyperlink ref="I227" r:id="rId452" display="▶ video"/>
    <hyperlink ref="H228" r:id="rId453" display="🔗 open"/>
    <hyperlink ref="I228" r:id="rId454" display="▶ video"/>
    <hyperlink ref="H229" r:id="rId455" display="🔗 open"/>
    <hyperlink ref="I229" r:id="rId456" display="▶ video"/>
    <hyperlink ref="H230" r:id="rId457" display="🔗 open"/>
    <hyperlink ref="I230" r:id="rId458" display="▶ video"/>
    <hyperlink ref="H231" r:id="rId459" display="🔗 open"/>
    <hyperlink ref="I231" r:id="rId460" display="▶ video"/>
    <hyperlink ref="H232" r:id="rId461" display="🔗 open"/>
    <hyperlink ref="I232" r:id="rId462" display="▶ video"/>
    <hyperlink ref="H233" r:id="rId463" display="🔗 open"/>
    <hyperlink ref="I233" r:id="rId464" display="▶ video"/>
    <hyperlink ref="H234" r:id="rId465" display="🔗 open"/>
    <hyperlink ref="I234" r:id="rId466" display="▶ video"/>
    <hyperlink ref="H235" r:id="rId467" display="🔗 open"/>
    <hyperlink ref="I235" r:id="rId468" display="▶ video"/>
    <hyperlink ref="H236" r:id="rId469" display="🔗 open"/>
    <hyperlink ref="I236" r:id="rId470" display="▶ video"/>
    <hyperlink ref="H237" r:id="rId471" display="🔗 open"/>
    <hyperlink ref="I237" r:id="rId472" display="▶ video"/>
    <hyperlink ref="H238" r:id="rId473" display="🔗 open"/>
    <hyperlink ref="I238" r:id="rId474" display="▶ video"/>
    <hyperlink ref="H239" r:id="rId475" display="🔗 open"/>
    <hyperlink ref="I239" r:id="rId476" display="▶ video"/>
    <hyperlink ref="H240" r:id="rId477" display="🔗 open"/>
    <hyperlink ref="I240" r:id="rId478" display="▶ video"/>
    <hyperlink ref="H241" r:id="rId479" display="🔗 open"/>
    <hyperlink ref="I241" r:id="rId480" display="▶ video"/>
    <hyperlink ref="H242" r:id="rId481" display="🔗 open"/>
    <hyperlink ref="I242" r:id="rId482" display="▶ video"/>
    <hyperlink ref="H243" r:id="rId483" display="🔗 open"/>
    <hyperlink ref="I243" r:id="rId484" display="▶ video"/>
    <hyperlink ref="H244" r:id="rId485" display="🔗 open"/>
    <hyperlink ref="I244" r:id="rId486" display="▶ video"/>
    <hyperlink ref="H245" r:id="rId487" display="🔗 open"/>
    <hyperlink ref="I245" r:id="rId488" display="▶ video"/>
    <hyperlink ref="H246" r:id="rId489" display="🔗 open"/>
    <hyperlink ref="I246" r:id="rId490" display="▶ video"/>
    <hyperlink ref="H247" r:id="rId491" display="🔗 open"/>
    <hyperlink ref="I247" r:id="rId492" display="▶ video"/>
    <hyperlink ref="H248" r:id="rId493" display="🔗 open"/>
    <hyperlink ref="I248" r:id="rId494" display="▶ video"/>
    <hyperlink ref="H249" r:id="rId495" display="🔗 open"/>
    <hyperlink ref="I249" r:id="rId496" display="▶ video"/>
    <hyperlink ref="H250" r:id="rId497" display="🔗 open"/>
    <hyperlink ref="I250" r:id="rId498" display="▶ video"/>
    <hyperlink ref="H251" r:id="rId499" display="🔗 open"/>
    <hyperlink ref="I251" r:id="rId500" display="▶ video"/>
    <hyperlink ref="H252" r:id="rId501" display="🔗 open"/>
    <hyperlink ref="I252" r:id="rId502" display="▶ video"/>
    <hyperlink ref="H253" r:id="rId503" display="🔗 open"/>
    <hyperlink ref="I253" r:id="rId504" display="▶ video"/>
    <hyperlink ref="H254" r:id="rId505" display="🔗 open"/>
    <hyperlink ref="I254" r:id="rId506" display="▶ video"/>
    <hyperlink ref="H255" r:id="rId507" display="🔗 open"/>
    <hyperlink ref="I255" r:id="rId508" display="▶ video"/>
    <hyperlink ref="H256" r:id="rId509" display="🔗 open"/>
    <hyperlink ref="I256" r:id="rId510" display="▶ video"/>
    <hyperlink ref="H257" r:id="rId511" display="🔗 open"/>
    <hyperlink ref="I257" r:id="rId512" display="▶ video"/>
    <hyperlink ref="H258" r:id="rId513" display="🔗 open"/>
    <hyperlink ref="I258" r:id="rId514" display="▶ video"/>
    <hyperlink ref="H259" r:id="rId515" display="🔗 open"/>
    <hyperlink ref="I259" r:id="rId516" display="▶ video"/>
    <hyperlink ref="H260" r:id="rId517" display="🔗 open"/>
    <hyperlink ref="I260" r:id="rId518" display="▶ video"/>
    <hyperlink ref="H261" r:id="rId519" display="🔗 open"/>
    <hyperlink ref="I261" r:id="rId520" display="▶ video"/>
    <hyperlink ref="H262" r:id="rId521" display="🔗 open"/>
    <hyperlink ref="I262" r:id="rId522" display="▶ video"/>
    <hyperlink ref="H263" r:id="rId523" display="🔗 open"/>
    <hyperlink ref="I263" r:id="rId524" display="▶ video"/>
    <hyperlink ref="H264" r:id="rId525" display="🔗 open"/>
    <hyperlink ref="I264" r:id="rId526" display="▶ video"/>
    <hyperlink ref="H265" r:id="rId527" display="🔗 open"/>
    <hyperlink ref="I265" r:id="rId528" display="▶ video"/>
    <hyperlink ref="H266" r:id="rId529" display="🔗 open"/>
    <hyperlink ref="I266" r:id="rId530" display="▶ video"/>
    <hyperlink ref="H267" r:id="rId531" display="🔗 open"/>
    <hyperlink ref="I267" r:id="rId532" display="▶ video"/>
    <hyperlink ref="H268" r:id="rId533" display="🔗 open"/>
    <hyperlink ref="I268" r:id="rId534" display="▶ video"/>
    <hyperlink ref="H269" r:id="rId535" display="🔗 open"/>
    <hyperlink ref="I269" r:id="rId536" display="▶ video"/>
    <hyperlink ref="H270" r:id="rId537" display="🔗 open"/>
    <hyperlink ref="I270" r:id="rId538" display="▶ video"/>
    <hyperlink ref="H271" r:id="rId539" display="🔗 open"/>
    <hyperlink ref="I271" r:id="rId540" display="▶ video"/>
    <hyperlink ref="H272" r:id="rId541" display="🔗 open"/>
    <hyperlink ref="I272" r:id="rId542" display="▶ video"/>
    <hyperlink ref="H273" r:id="rId543" display="🔗 open"/>
    <hyperlink ref="I273" r:id="rId544" display="▶ video"/>
    <hyperlink ref="H274" r:id="rId545" display="🔗 open"/>
    <hyperlink ref="I274" r:id="rId546" display="▶ video"/>
    <hyperlink ref="H275" r:id="rId547" display="🔗 open"/>
    <hyperlink ref="I275" r:id="rId548" display="▶ video"/>
    <hyperlink ref="H276" r:id="rId549" display="🔗 open"/>
    <hyperlink ref="I276" r:id="rId550" display="▶ video"/>
    <hyperlink ref="H277" r:id="rId551" display="🔗 open"/>
    <hyperlink ref="I277" r:id="rId552" display="▶ video"/>
    <hyperlink ref="H278" r:id="rId553" display="🔗 open"/>
    <hyperlink ref="I278" r:id="rId554" display="▶ video"/>
    <hyperlink ref="H279" r:id="rId555" display="🔗 open"/>
    <hyperlink ref="I279" r:id="rId556" display="▶ video"/>
    <hyperlink ref="H280" r:id="rId557" display="🔗 open"/>
    <hyperlink ref="I280" r:id="rId558" display="▶ video"/>
    <hyperlink ref="H281" r:id="rId559" display="🔗 open"/>
    <hyperlink ref="I281" r:id="rId560" display="▶ video"/>
    <hyperlink ref="H282" r:id="rId561" display="🔗 open"/>
    <hyperlink ref="I282" r:id="rId562" display="▶ video"/>
    <hyperlink ref="H283" r:id="rId563" display="🔗 open"/>
    <hyperlink ref="I283" r:id="rId564" display="▶ video"/>
    <hyperlink ref="H284" r:id="rId565" display="🔗 open"/>
    <hyperlink ref="I284" r:id="rId566" display="▶ video"/>
    <hyperlink ref="H285" r:id="rId567" display="🔗 open"/>
    <hyperlink ref="I285" r:id="rId568" display="▶ video"/>
    <hyperlink ref="H286" r:id="rId569" display="🔗 open"/>
    <hyperlink ref="I286" r:id="rId570" display="▶ video"/>
    <hyperlink ref="H287" r:id="rId571" display="🔗 open"/>
    <hyperlink ref="I287" r:id="rId572" display="▶ video"/>
    <hyperlink ref="H288" r:id="rId573" display="🔗 open"/>
    <hyperlink ref="I288" r:id="rId574" display="▶ video"/>
    <hyperlink ref="H289" r:id="rId575" display="🔗 open"/>
    <hyperlink ref="I289" r:id="rId576" display="▶ video"/>
    <hyperlink ref="H290" r:id="rId577" display="🔗 open"/>
    <hyperlink ref="I290" r:id="rId578" display="▶ video"/>
    <hyperlink ref="H291" r:id="rId579" display="🔗 open"/>
    <hyperlink ref="I291" r:id="rId580" display="▶ video"/>
    <hyperlink ref="H292" r:id="rId581" display="🔗 open"/>
    <hyperlink ref="I292" r:id="rId582" display="▶ video"/>
    <hyperlink ref="H293" r:id="rId583" display="🔗 open"/>
    <hyperlink ref="I293" r:id="rId584" display="▶ video"/>
    <hyperlink ref="H294" r:id="rId585" display="🔗 open"/>
    <hyperlink ref="I294" r:id="rId586" display="▶ video"/>
    <hyperlink ref="H295" r:id="rId587" display="🔗 open"/>
    <hyperlink ref="I295" r:id="rId588" display="▶ video"/>
    <hyperlink ref="H296" r:id="rId589" display="🔗 open"/>
    <hyperlink ref="I296" r:id="rId590" display="▶ video"/>
    <hyperlink ref="H297" r:id="rId591" display="🔗 open"/>
    <hyperlink ref="I297" r:id="rId592" display="▶ video"/>
    <hyperlink ref="H298" r:id="rId593" display="🔗 open"/>
    <hyperlink ref="I298" r:id="rId594" display="▶ video"/>
    <hyperlink ref="H299" r:id="rId595" display="🔗 open"/>
    <hyperlink ref="I299" r:id="rId596" display="▶ video"/>
    <hyperlink ref="H300" r:id="rId597" display="🔗 open"/>
    <hyperlink ref="I300" r:id="rId598" display="▶ video"/>
    <hyperlink ref="H301" r:id="rId599" display="🔗 open"/>
    <hyperlink ref="I301" r:id="rId600" display="▶ video"/>
    <hyperlink ref="H302" r:id="rId601" display="🔗 open"/>
    <hyperlink ref="I302" r:id="rId602" display="▶ video"/>
    <hyperlink ref="H303" r:id="rId603" display="🔗 open"/>
    <hyperlink ref="I303" r:id="rId604" display="▶ video"/>
    <hyperlink ref="H304" r:id="rId605" display="🔗 open"/>
    <hyperlink ref="I304" r:id="rId606" display="▶ video"/>
    <hyperlink ref="H305" r:id="rId607" display="🔗 open"/>
    <hyperlink ref="I305" r:id="rId608" display="▶ video"/>
    <hyperlink ref="H306" r:id="rId609" display="🔗 open"/>
    <hyperlink ref="I306" r:id="rId610" display="▶ video"/>
    <hyperlink ref="H307" r:id="rId611" display="🔗 open"/>
    <hyperlink ref="I307" r:id="rId612" display="▶ video"/>
    <hyperlink ref="H308" r:id="rId613" display="🔗 open"/>
    <hyperlink ref="I308" r:id="rId614" display="▶ video"/>
    <hyperlink ref="H309" r:id="rId615" display="🔗 open"/>
    <hyperlink ref="I309" r:id="rId616" display="▶ video"/>
    <hyperlink ref="H310" r:id="rId617" display="🔗 open"/>
    <hyperlink ref="I310" r:id="rId618" display="▶ video"/>
    <hyperlink ref="H311" r:id="rId619" display="🔗 open"/>
    <hyperlink ref="I311" r:id="rId620" display="▶ video"/>
    <hyperlink ref="H312" r:id="rId621" display="🔗 open"/>
    <hyperlink ref="I312" r:id="rId622" display="▶ video"/>
    <hyperlink ref="H313" r:id="rId623" display="🔗 open"/>
    <hyperlink ref="I313" r:id="rId624" display="▶ video"/>
    <hyperlink ref="H314" r:id="rId625" display="🔗 open"/>
    <hyperlink ref="I314" r:id="rId626" display="▶ video"/>
    <hyperlink ref="H315" r:id="rId627" display="🔗 open"/>
    <hyperlink ref="I315" r:id="rId628" display="▶ video"/>
    <hyperlink ref="H316" r:id="rId629" display="🔗 open"/>
    <hyperlink ref="I316" r:id="rId630" display="▶ video"/>
    <hyperlink ref="H317" r:id="rId631" display="🔗 open"/>
    <hyperlink ref="I317" r:id="rId632" display="▶ video"/>
    <hyperlink ref="H318" r:id="rId633" display="🔗 open"/>
    <hyperlink ref="I318" r:id="rId634" display="▶ video"/>
    <hyperlink ref="H319" r:id="rId635" display="🔗 open"/>
    <hyperlink ref="I319" r:id="rId636" display="▶ video"/>
    <hyperlink ref="H320" r:id="rId637" display="🔗 open"/>
    <hyperlink ref="I320" r:id="rId638" display="▶ video"/>
    <hyperlink ref="H321" r:id="rId639" display="🔗 open"/>
    <hyperlink ref="I321" r:id="rId640" display="▶ video"/>
    <hyperlink ref="H322" r:id="rId641" display="🔗 open"/>
    <hyperlink ref="I322" r:id="rId642" display="▶ video"/>
    <hyperlink ref="H323" r:id="rId643" display="🔗 open"/>
    <hyperlink ref="I323" r:id="rId644" display="▶ video"/>
    <hyperlink ref="H324" r:id="rId645" display="🔗 open"/>
    <hyperlink ref="I324" r:id="rId646" display="▶ video"/>
    <hyperlink ref="H325" r:id="rId647" display="🔗 open"/>
    <hyperlink ref="I325" r:id="rId648" display="▶ video"/>
    <hyperlink ref="H326" r:id="rId649" display="🔗 open"/>
    <hyperlink ref="I326" r:id="rId650" display="▶ video"/>
    <hyperlink ref="H327" r:id="rId651" display="🔗 open"/>
    <hyperlink ref="I327" r:id="rId652" display="▶ video"/>
    <hyperlink ref="H328" r:id="rId653" display="🔗 open"/>
    <hyperlink ref="I328" r:id="rId654" display="▶ video"/>
    <hyperlink ref="H329" r:id="rId655" display="🔗 open"/>
    <hyperlink ref="I329" r:id="rId656" display="▶ video"/>
    <hyperlink ref="H330" r:id="rId657" display="🔗 open"/>
    <hyperlink ref="I330" r:id="rId658" display="▶ video"/>
    <hyperlink ref="H331" r:id="rId659" display="🔗 open"/>
    <hyperlink ref="I331" r:id="rId660" display="▶ video"/>
    <hyperlink ref="H332" r:id="rId661" display="🔗 open"/>
    <hyperlink ref="I332" r:id="rId662" display="▶ video"/>
    <hyperlink ref="H333" r:id="rId663" display="🔗 open"/>
    <hyperlink ref="I333" r:id="rId664" display="▶ video"/>
    <hyperlink ref="H334" r:id="rId665" display="🔗 open"/>
    <hyperlink ref="I334" r:id="rId666" display="▶ video"/>
    <hyperlink ref="H335" r:id="rId667" display="🔗 open"/>
    <hyperlink ref="I335" r:id="rId668" display="▶ video"/>
    <hyperlink ref="H336" r:id="rId669" display="🔗 open"/>
    <hyperlink ref="I336" r:id="rId670" display="▶ video"/>
    <hyperlink ref="H337" r:id="rId671" display="🔗 open"/>
    <hyperlink ref="I337" r:id="rId672" display="▶ video"/>
    <hyperlink ref="H338" r:id="rId673" display="🔗 open"/>
    <hyperlink ref="I338" r:id="rId674" display="▶ video"/>
    <hyperlink ref="H339" r:id="rId675" display="🔗 open"/>
    <hyperlink ref="I339" r:id="rId676" display="▶ video"/>
    <hyperlink ref="H340" r:id="rId677" display="🔗 open"/>
    <hyperlink ref="I340" r:id="rId678" display="▶ video"/>
    <hyperlink ref="H341" r:id="rId679" display="🔗 open"/>
    <hyperlink ref="I341" r:id="rId680" display="▶ video"/>
    <hyperlink ref="H342" r:id="rId681" display="🔗 open"/>
    <hyperlink ref="I342" r:id="rId682" display="▶ video"/>
    <hyperlink ref="H343" r:id="rId683" display="🔗 open"/>
    <hyperlink ref="I343" r:id="rId684" display="▶ video"/>
    <hyperlink ref="H344" r:id="rId685" display="🔗 open"/>
    <hyperlink ref="I344" r:id="rId686" display="▶ video"/>
    <hyperlink ref="H345" r:id="rId687" display="🔗 open"/>
    <hyperlink ref="I345" r:id="rId688" display="▶ video"/>
    <hyperlink ref="H346" r:id="rId689" display="🔗 open"/>
    <hyperlink ref="I346" r:id="rId690" display="▶ video"/>
    <hyperlink ref="H347" r:id="rId691" display="🔗 open"/>
    <hyperlink ref="I347" r:id="rId692" display="▶ video"/>
    <hyperlink ref="H348" r:id="rId693" display="🔗 open"/>
    <hyperlink ref="I348" r:id="rId694" display="▶ video"/>
    <hyperlink ref="H349" r:id="rId695" display="🔗 open"/>
    <hyperlink ref="I349" r:id="rId696" display="▶ video"/>
    <hyperlink ref="H350" r:id="rId697" display="🔗 open"/>
    <hyperlink ref="I350" r:id="rId698" display="▶ video"/>
    <hyperlink ref="H351" r:id="rId699" display="🔗 open"/>
    <hyperlink ref="I351" r:id="rId700" display="▶ video"/>
    <hyperlink ref="H352" r:id="rId701" display="🔗 open"/>
    <hyperlink ref="I352" r:id="rId702" display="▶ video"/>
    <hyperlink ref="H353" r:id="rId703" display="🔗 open"/>
    <hyperlink ref="I353" r:id="rId704" display="▶ video"/>
    <hyperlink ref="H354" r:id="rId705" display="🔗 open"/>
    <hyperlink ref="I354" r:id="rId706" display="▶ video"/>
    <hyperlink ref="H355" r:id="rId707" display="🔗 open"/>
    <hyperlink ref="I355" r:id="rId708" display="▶ video"/>
    <hyperlink ref="H356" r:id="rId709" display="🔗 open"/>
    <hyperlink ref="I356" r:id="rId710" display="▶ video"/>
    <hyperlink ref="H357" r:id="rId711" display="🔗 open"/>
    <hyperlink ref="I357" r:id="rId712" display="▶ video"/>
    <hyperlink ref="H358" r:id="rId713" display="🔗 open"/>
    <hyperlink ref="I358" r:id="rId714" display="▶ video"/>
    <hyperlink ref="H359" r:id="rId715" display="🔗 open"/>
    <hyperlink ref="I359" r:id="rId716" display="▶ video"/>
    <hyperlink ref="H360" r:id="rId717" display="🔗 open"/>
    <hyperlink ref="I360" r:id="rId718" display="▶ video"/>
    <hyperlink ref="H361" r:id="rId719" display="🔗 open"/>
    <hyperlink ref="I361" r:id="rId720" display="▶ video"/>
    <hyperlink ref="H362" r:id="rId721" display="🔗 open"/>
    <hyperlink ref="I362" r:id="rId722" display="▶ video"/>
    <hyperlink ref="H363" r:id="rId723" display="🔗 open"/>
    <hyperlink ref="I363" r:id="rId724" display="▶ video"/>
    <hyperlink ref="H364" r:id="rId725" display="🔗 open"/>
    <hyperlink ref="I364" r:id="rId726" display="▶ video"/>
    <hyperlink ref="H365" r:id="rId727" display="🔗 open"/>
    <hyperlink ref="I365" r:id="rId728" display="▶ video"/>
    <hyperlink ref="H366" r:id="rId729" display="🔗 open"/>
    <hyperlink ref="I366" r:id="rId730" display="▶ video"/>
    <hyperlink ref="H367" r:id="rId731" display="🔗 open"/>
    <hyperlink ref="I367" r:id="rId732" display="▶ video"/>
    <hyperlink ref="H368" r:id="rId733" display="🔗 open"/>
    <hyperlink ref="I368" r:id="rId734" display="▶ video"/>
    <hyperlink ref="H369" r:id="rId735" display="🔗 open"/>
    <hyperlink ref="I369" r:id="rId736" display="▶ video"/>
    <hyperlink ref="H370" r:id="rId737" display="🔗 open"/>
    <hyperlink ref="I370" r:id="rId738" display="▶ video"/>
    <hyperlink ref="H371" r:id="rId739" display="🔗 open"/>
    <hyperlink ref="I371" r:id="rId740" display="▶ video"/>
    <hyperlink ref="H372" r:id="rId741" display="🔗 open"/>
    <hyperlink ref="I372" r:id="rId742" display="▶ video"/>
    <hyperlink ref="H373" r:id="rId743" display="🔗 open"/>
    <hyperlink ref="I373" r:id="rId744" display="▶ video"/>
    <hyperlink ref="H374" r:id="rId745" display="🔗 open"/>
    <hyperlink ref="I374" r:id="rId746" display="▶ video"/>
    <hyperlink ref="H375" r:id="rId747" display="🔗 open"/>
    <hyperlink ref="I375" r:id="rId748" display="▶ video"/>
    <hyperlink ref="H376" r:id="rId749" display="🔗 open"/>
    <hyperlink ref="I376" r:id="rId750" display="▶ video"/>
    <hyperlink ref="H377" r:id="rId751" display="🔗 open"/>
    <hyperlink ref="I377" r:id="rId752" display="▶ video"/>
    <hyperlink ref="H378" r:id="rId753" display="🔗 open"/>
    <hyperlink ref="I378" r:id="rId754" display="▶ video"/>
    <hyperlink ref="H379" r:id="rId755" display="🔗 open"/>
    <hyperlink ref="I379" r:id="rId756" display="▶ video"/>
    <hyperlink ref="H380" r:id="rId757" display="🔗 open"/>
    <hyperlink ref="I380" r:id="rId758" display="▶ video"/>
    <hyperlink ref="H381" r:id="rId759" display="🔗 open"/>
    <hyperlink ref="I381" r:id="rId760" display="▶ video"/>
    <hyperlink ref="H382" r:id="rId761" display="🔗 open"/>
    <hyperlink ref="I382" r:id="rId762" display="▶ video"/>
    <hyperlink ref="H383" r:id="rId763" display="🔗 open"/>
    <hyperlink ref="I383" r:id="rId764" display="▶ video"/>
    <hyperlink ref="H384" r:id="rId765" display="🔗 open"/>
    <hyperlink ref="I384" r:id="rId766" display="▶ video"/>
    <hyperlink ref="H385" r:id="rId767" display="🔗 open"/>
    <hyperlink ref="I385" r:id="rId768" display="▶ video"/>
    <hyperlink ref="H386" r:id="rId769" display="🔗 open"/>
    <hyperlink ref="I386" r:id="rId770" display="▶ video"/>
    <hyperlink ref="H387" r:id="rId771" display="🔗 open"/>
    <hyperlink ref="I387" r:id="rId772" display="▶ video"/>
    <hyperlink ref="H388" r:id="rId773" display="🔗 open"/>
    <hyperlink ref="I388" r:id="rId774" display="▶ video"/>
    <hyperlink ref="H389" r:id="rId775" display="🔗 open"/>
    <hyperlink ref="I389" r:id="rId776" display="▶ video"/>
    <hyperlink ref="H390" r:id="rId777" display="🔗 open"/>
    <hyperlink ref="I390" r:id="rId778" display="▶ video"/>
    <hyperlink ref="H391" r:id="rId779" display="🔗 open"/>
    <hyperlink ref="I391" r:id="rId780" display="▶ video"/>
    <hyperlink ref="H392" r:id="rId781" display="🔗 open"/>
    <hyperlink ref="I392" r:id="rId782" display="▶ video"/>
    <hyperlink ref="H393" r:id="rId783" display="🔗 open"/>
    <hyperlink ref="I393" r:id="rId784" display="▶ video"/>
    <hyperlink ref="H394" r:id="rId785" display="🔗 open"/>
    <hyperlink ref="I394" r:id="rId786" display="▶ video"/>
    <hyperlink ref="H395" r:id="rId787" display="🔗 open"/>
    <hyperlink ref="I395" r:id="rId788" display="▶ video"/>
    <hyperlink ref="H396" r:id="rId789" display="🔗 open"/>
    <hyperlink ref="I396" r:id="rId790" display="▶ video"/>
    <hyperlink ref="H397" r:id="rId791" display="🔗 open"/>
    <hyperlink ref="I397" r:id="rId792" display="▶ video"/>
    <hyperlink ref="H398" r:id="rId793" display="🔗 open"/>
    <hyperlink ref="I398" r:id="rId794" display="▶ video"/>
    <hyperlink ref="H399" r:id="rId795" display="🔗 open"/>
    <hyperlink ref="I399" r:id="rId796" display="▶ video"/>
    <hyperlink ref="H400" r:id="rId797" display="🔗 open"/>
    <hyperlink ref="I400" r:id="rId798" display="▶ video"/>
    <hyperlink ref="H401" r:id="rId799" display="🔗 open"/>
    <hyperlink ref="I401" r:id="rId800" display="▶ video"/>
    <hyperlink ref="H402" r:id="rId801" display="🔗 open"/>
    <hyperlink ref="I402" r:id="rId802" display="▶ video"/>
    <hyperlink ref="H403" r:id="rId803" display="🔗 open"/>
    <hyperlink ref="I403" r:id="rId804" display="▶ video"/>
    <hyperlink ref="H404" r:id="rId805" display="🔗 open"/>
    <hyperlink ref="I404" r:id="rId806" display="▶ video"/>
    <hyperlink ref="H405" r:id="rId807" display="🔗 open"/>
    <hyperlink ref="I405" r:id="rId808" display="▶ video"/>
    <hyperlink ref="H406" r:id="rId809" display="🔗 open"/>
    <hyperlink ref="I406" r:id="rId810" display="▶ video"/>
    <hyperlink ref="H407" r:id="rId811" display="🔗 open"/>
    <hyperlink ref="I407" r:id="rId812" display="▶ video"/>
    <hyperlink ref="H408" r:id="rId813" display="🔗 open"/>
    <hyperlink ref="I408" r:id="rId814" display="▶ video"/>
    <hyperlink ref="H409" r:id="rId815" display="🔗 open"/>
    <hyperlink ref="I409" r:id="rId816" display="▶ video"/>
    <hyperlink ref="H410" r:id="rId817" display="🔗 open"/>
    <hyperlink ref="I410" r:id="rId818" display="▶ video"/>
    <hyperlink ref="H411" r:id="rId819" display="🔗 open"/>
    <hyperlink ref="I411" r:id="rId820" display="▶ video"/>
    <hyperlink ref="H412" r:id="rId821" display="🔗 open"/>
    <hyperlink ref="I412" r:id="rId822" display="▶ video"/>
    <hyperlink ref="H413" r:id="rId823" display="🔗 open"/>
    <hyperlink ref="I413" r:id="rId824" display="▶ video"/>
    <hyperlink ref="H414" r:id="rId825" display="🔗 open"/>
    <hyperlink ref="I414" r:id="rId826" display="▶ video"/>
    <hyperlink ref="H415" r:id="rId827" display="🔗 open"/>
    <hyperlink ref="I415" r:id="rId828" display="▶ video"/>
    <hyperlink ref="H416" r:id="rId829" display="🔗 open"/>
    <hyperlink ref="I416" r:id="rId830" display="▶ video"/>
    <hyperlink ref="H417" r:id="rId831" display="🔗 open"/>
    <hyperlink ref="I417" r:id="rId832" display="▶ video"/>
    <hyperlink ref="H418" r:id="rId833" display="🔗 open"/>
    <hyperlink ref="I418" r:id="rId834" display="▶ video"/>
    <hyperlink ref="H419" r:id="rId835" display="🔗 open"/>
    <hyperlink ref="I419" r:id="rId836" display="▶ video"/>
    <hyperlink ref="H420" r:id="rId837" display="🔗 open"/>
    <hyperlink ref="I420" r:id="rId838" display="▶ video"/>
    <hyperlink ref="H421" r:id="rId839" display="🔗 open"/>
    <hyperlink ref="I421" r:id="rId840" display="▶ video"/>
    <hyperlink ref="H422" r:id="rId841" display="🔗 open"/>
    <hyperlink ref="I422" r:id="rId842" display="▶ video"/>
    <hyperlink ref="H423" r:id="rId843" display="🔗 open"/>
    <hyperlink ref="I423" r:id="rId844" display="▶ video"/>
    <hyperlink ref="H424" r:id="rId845" display="🔗 open"/>
    <hyperlink ref="I424" r:id="rId846" display="▶ video"/>
    <hyperlink ref="H425" r:id="rId847" display="🔗 open"/>
    <hyperlink ref="I425" r:id="rId848" display="▶ video"/>
    <hyperlink ref="H426" r:id="rId849" display="🔗 open"/>
    <hyperlink ref="I426" r:id="rId850" display="▶ video"/>
    <hyperlink ref="H427" r:id="rId851" display="🔗 open"/>
    <hyperlink ref="I427" r:id="rId852" display="▶ video"/>
    <hyperlink ref="H428" r:id="rId853" display="🔗 open"/>
    <hyperlink ref="I428" r:id="rId854" display="▶ video"/>
    <hyperlink ref="H429" r:id="rId855" display="🔗 open"/>
    <hyperlink ref="I429" r:id="rId856" display="▶ video"/>
    <hyperlink ref="H430" r:id="rId857" display="🔗 open"/>
    <hyperlink ref="I430" r:id="rId858" display="▶ video"/>
    <hyperlink ref="H431" r:id="rId859" display="🔗 open"/>
    <hyperlink ref="I431" r:id="rId860" display="▶ video"/>
    <hyperlink ref="H432" r:id="rId861" display="🔗 open"/>
    <hyperlink ref="I432" r:id="rId862" display="▶ video"/>
    <hyperlink ref="H433" r:id="rId863" display="🔗 open"/>
    <hyperlink ref="I433" r:id="rId864" display="▶ video"/>
    <hyperlink ref="H434" r:id="rId865" display="🔗 open"/>
    <hyperlink ref="I434" r:id="rId866" display="▶ video"/>
    <hyperlink ref="H435" r:id="rId867" display="🔗 open"/>
    <hyperlink ref="I435" r:id="rId868" display="▶ video"/>
    <hyperlink ref="H436" r:id="rId869" display="🔗 open"/>
    <hyperlink ref="I436" r:id="rId870" display="▶ video"/>
    <hyperlink ref="H437" r:id="rId871" display="🔗 open"/>
    <hyperlink ref="I437" r:id="rId872" display="▶ video"/>
    <hyperlink ref="H438" r:id="rId873" display="🔗 open"/>
    <hyperlink ref="I438" r:id="rId874" display="▶ video"/>
    <hyperlink ref="H439" r:id="rId875" display="🔗 open"/>
    <hyperlink ref="I439" r:id="rId876" display="▶ video"/>
    <hyperlink ref="H440" r:id="rId877" display="🔗 open"/>
    <hyperlink ref="I440" r:id="rId878" display="▶ video"/>
    <hyperlink ref="H441" r:id="rId879" display="🔗 open"/>
    <hyperlink ref="I441" r:id="rId880" display="▶ video"/>
    <hyperlink ref="H442" r:id="rId881" display="🔗 open"/>
    <hyperlink ref="I442" r:id="rId882" display="▶ video"/>
    <hyperlink ref="H443" r:id="rId883" display="🔗 open"/>
    <hyperlink ref="I443" r:id="rId884" display="▶ video"/>
    <hyperlink ref="H444" r:id="rId885" display="🔗 open"/>
    <hyperlink ref="I444" r:id="rId886" display="▶ video"/>
    <hyperlink ref="H445" r:id="rId887" display="🔗 open"/>
    <hyperlink ref="I445" r:id="rId888" display="▶ video"/>
    <hyperlink ref="H446" r:id="rId889" display="🔗 open"/>
    <hyperlink ref="I446" r:id="rId890" display="▶ video"/>
    <hyperlink ref="H447" r:id="rId891" display="🔗 open"/>
    <hyperlink ref="I447" r:id="rId892" display="▶ video"/>
    <hyperlink ref="H448" r:id="rId893" display="🔗 open"/>
    <hyperlink ref="I448" r:id="rId894" display="▶ video"/>
    <hyperlink ref="H449" r:id="rId895" display="🔗 open"/>
    <hyperlink ref="I449" r:id="rId896" display="▶ video"/>
    <hyperlink ref="H450" r:id="rId897" display="🔗 open"/>
    <hyperlink ref="I450" r:id="rId898" display="▶ video"/>
    <hyperlink ref="H451" r:id="rId899" display="🔗 open"/>
    <hyperlink ref="I451" r:id="rId900" display="▶ video"/>
    <hyperlink ref="H452" r:id="rId901" display="🔗 open"/>
    <hyperlink ref="I452" r:id="rId902" display="▶ video"/>
    <hyperlink ref="H453" r:id="rId903" display="🔗 open"/>
    <hyperlink ref="I453" r:id="rId904" display="▶ video"/>
    <hyperlink ref="H454" r:id="rId905" display="🔗 open"/>
    <hyperlink ref="I454" r:id="rId906" display="▶ video"/>
    <hyperlink ref="H455" r:id="rId907" display="🔗 open"/>
    <hyperlink ref="I455" r:id="rId908" display="▶ vide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0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4" min="3" style="0" width="8"/>
    <col collapsed="false" customWidth="true" hidden="false" outlineLevel="0" max="5" min="5" style="0" width="11"/>
    <col collapsed="false" customWidth="true" hidden="false" outlineLevel="0" max="6" min="6" style="0" width="9"/>
  </cols>
  <sheetData>
    <row r="1" customFormat="false" ht="17.35" hidden="false" customHeight="false" outlineLevel="0" collapsed="false">
      <c r="A1" s="10" t="s">
        <v>550</v>
      </c>
      <c r="B1" s="10"/>
      <c r="C1" s="10"/>
      <c r="D1" s="10"/>
      <c r="E1" s="10"/>
    </row>
    <row r="3" customFormat="false" ht="15" hidden="false" customHeight="false" outlineLevel="0" collapsed="false">
      <c r="A3" s="11" t="s">
        <v>551</v>
      </c>
    </row>
    <row r="4" customFormat="false" ht="15" hidden="false" customHeight="false" outlineLevel="0" collapsed="false">
      <c r="A4" s="12" t="s">
        <v>552</v>
      </c>
      <c r="B4" s="13" t="n">
        <f aca="false">COUNTA(Tracker!F2:F455)</f>
        <v>454</v>
      </c>
    </row>
    <row r="5" customFormat="false" ht="15" hidden="false" customHeight="false" outlineLevel="0" collapsed="false">
      <c r="A5" s="12" t="s">
        <v>553</v>
      </c>
      <c r="B5" s="13" t="n">
        <f aca="false">COUNTIF(Tracker!J2:J455,"Solved")</f>
        <v>0</v>
      </c>
    </row>
    <row r="6" customFormat="false" ht="15" hidden="false" customHeight="false" outlineLevel="0" collapsed="false">
      <c r="A6" s="12" t="s">
        <v>554</v>
      </c>
      <c r="B6" s="13" t="n">
        <f aca="false">B4-B5</f>
        <v>454</v>
      </c>
    </row>
    <row r="7" customFormat="false" ht="15" hidden="false" customHeight="false" outlineLevel="0" collapsed="false">
      <c r="A7" s="12" t="s">
        <v>555</v>
      </c>
      <c r="B7" s="14" t="n">
        <f aca="false">B5/B4</f>
        <v>0</v>
      </c>
    </row>
    <row r="8" customFormat="false" ht="15" hidden="false" customHeight="false" outlineLevel="0" collapsed="false">
      <c r="A8" s="12" t="s">
        <v>556</v>
      </c>
      <c r="B8" s="13" t="n">
        <f aca="false">COUNTIF(Tracker!J2:J455,"Revisit")</f>
        <v>0</v>
      </c>
    </row>
    <row r="10" customFormat="false" ht="15" hidden="false" customHeight="false" outlineLevel="0" collapsed="false">
      <c r="A10" s="11" t="s">
        <v>557</v>
      </c>
    </row>
    <row r="12" customFormat="false" ht="15" hidden="false" customHeight="false" outlineLevel="0" collapsed="false">
      <c r="A12" s="15" t="s">
        <v>0</v>
      </c>
      <c r="B12" s="15" t="s">
        <v>1</v>
      </c>
      <c r="C12" s="15" t="s">
        <v>558</v>
      </c>
      <c r="D12" s="15" t="s">
        <v>553</v>
      </c>
      <c r="E12" s="15" t="s">
        <v>554</v>
      </c>
      <c r="F12" s="15" t="s">
        <v>559</v>
      </c>
    </row>
    <row r="13" customFormat="false" ht="15" hidden="false" customHeight="false" outlineLevel="0" collapsed="false">
      <c r="A13" s="16" t="n">
        <v>1</v>
      </c>
      <c r="B13" s="17" t="s">
        <v>13</v>
      </c>
      <c r="C13" s="16" t="n">
        <f aca="false">COUNTIF(Tracker!A2:A455,1)</f>
        <v>31</v>
      </c>
      <c r="D13" s="16" t="n">
        <f aca="false">COUNTIFS(Tracker!A2:A455,1,Tracker!J2:J455,"Solved")</f>
        <v>0</v>
      </c>
      <c r="E13" s="16" t="n">
        <f aca="false">C13-D13</f>
        <v>31</v>
      </c>
      <c r="F13" s="18" t="n">
        <f aca="false">IF(C13=0,0,D13/C13)</f>
        <v>0</v>
      </c>
    </row>
    <row r="14" customFormat="false" ht="15" hidden="false" customHeight="false" outlineLevel="0" collapsed="false">
      <c r="A14" s="16" t="n">
        <v>2</v>
      </c>
      <c r="B14" s="17" t="s">
        <v>55</v>
      </c>
      <c r="C14" s="16" t="n">
        <f aca="false">COUNTIF(Tracker!A2:A455,2)</f>
        <v>7</v>
      </c>
      <c r="D14" s="16" t="n">
        <f aca="false">COUNTIFS(Tracker!A2:A455,2,Tracker!J2:J455,"Solved")</f>
        <v>0</v>
      </c>
      <c r="E14" s="16" t="n">
        <f aca="false">C14-D14</f>
        <v>7</v>
      </c>
      <c r="F14" s="18" t="n">
        <f aca="false">IF(C14=0,0,D14/C14)</f>
        <v>0</v>
      </c>
    </row>
    <row r="15" customFormat="false" ht="15" hidden="false" customHeight="false" outlineLevel="0" collapsed="false">
      <c r="A15" s="16" t="n">
        <v>3</v>
      </c>
      <c r="B15" s="17" t="s">
        <v>66</v>
      </c>
      <c r="C15" s="16" t="n">
        <f aca="false">COUNTIF(Tracker!A2:A455,3)</f>
        <v>41</v>
      </c>
      <c r="D15" s="16" t="n">
        <f aca="false">COUNTIFS(Tracker!A2:A455,3,Tracker!J2:J455,"Solved")</f>
        <v>0</v>
      </c>
      <c r="E15" s="16" t="n">
        <f aca="false">C15-D15</f>
        <v>41</v>
      </c>
      <c r="F15" s="18" t="n">
        <f aca="false">IF(C15=0,0,D15/C15)</f>
        <v>0</v>
      </c>
    </row>
    <row r="16" customFormat="false" ht="15" hidden="false" customHeight="false" outlineLevel="0" collapsed="false">
      <c r="A16" s="16" t="n">
        <v>4</v>
      </c>
      <c r="B16" s="17" t="s">
        <v>112</v>
      </c>
      <c r="C16" s="16" t="n">
        <f aca="false">COUNTIF(Tracker!A2:A455,4)</f>
        <v>32</v>
      </c>
      <c r="D16" s="16" t="n">
        <f aca="false">COUNTIFS(Tracker!A2:A455,4,Tracker!J2:J455,"Solved")</f>
        <v>0</v>
      </c>
      <c r="E16" s="16" t="n">
        <f aca="false">C16-D16</f>
        <v>32</v>
      </c>
      <c r="F16" s="18" t="n">
        <f aca="false">IF(C16=0,0,D16/C16)</f>
        <v>0</v>
      </c>
    </row>
    <row r="17" customFormat="false" ht="15" hidden="false" customHeight="false" outlineLevel="0" collapsed="false">
      <c r="A17" s="16" t="n">
        <v>5</v>
      </c>
      <c r="B17" s="17" t="s">
        <v>148</v>
      </c>
      <c r="C17" s="16" t="n">
        <f aca="false">COUNTIF(Tracker!A2:A455,5)</f>
        <v>15</v>
      </c>
      <c r="D17" s="16" t="n">
        <f aca="false">COUNTIFS(Tracker!A2:A455,5,Tracker!J2:J455,"Solved")</f>
        <v>0</v>
      </c>
      <c r="E17" s="16" t="n">
        <f aca="false">C17-D17</f>
        <v>15</v>
      </c>
      <c r="F17" s="18" t="n">
        <f aca="false">IF(C17=0,0,D17/C17)</f>
        <v>0</v>
      </c>
    </row>
    <row r="18" customFormat="false" ht="15" hidden="false" customHeight="false" outlineLevel="0" collapsed="false">
      <c r="A18" s="16" t="n">
        <v>6</v>
      </c>
      <c r="B18" s="17" t="s">
        <v>166</v>
      </c>
      <c r="C18" s="16" t="n">
        <f aca="false">COUNTIF(Tracker!A2:A455,6)</f>
        <v>31</v>
      </c>
      <c r="D18" s="16" t="n">
        <f aca="false">COUNTIFS(Tracker!A2:A455,6,Tracker!J2:J455,"Solved")</f>
        <v>0</v>
      </c>
      <c r="E18" s="16" t="n">
        <f aca="false">C18-D18</f>
        <v>31</v>
      </c>
      <c r="F18" s="18" t="n">
        <f aca="false">IF(C18=0,0,D18/C18)</f>
        <v>0</v>
      </c>
    </row>
    <row r="19" customFormat="false" ht="15" hidden="false" customHeight="false" outlineLevel="0" collapsed="false">
      <c r="A19" s="16" t="n">
        <v>7</v>
      </c>
      <c r="B19" s="17" t="s">
        <v>203</v>
      </c>
      <c r="C19" s="16" t="n">
        <f aca="false">COUNTIF(Tracker!A2:A455,7)</f>
        <v>25</v>
      </c>
      <c r="D19" s="16" t="n">
        <f aca="false">COUNTIFS(Tracker!A2:A455,7,Tracker!J2:J455,"Solved")</f>
        <v>0</v>
      </c>
      <c r="E19" s="16" t="n">
        <f aca="false">C19-D19</f>
        <v>25</v>
      </c>
      <c r="F19" s="18" t="n">
        <f aca="false">IF(C19=0,0,D19/C19)</f>
        <v>0</v>
      </c>
    </row>
    <row r="20" customFormat="false" ht="15" hidden="false" customHeight="false" outlineLevel="0" collapsed="false">
      <c r="A20" s="16" t="n">
        <v>8</v>
      </c>
      <c r="B20" s="17" t="s">
        <v>232</v>
      </c>
      <c r="C20" s="16" t="n">
        <f aca="false">COUNTIF(Tracker!A2:A455,8)</f>
        <v>18</v>
      </c>
      <c r="D20" s="16" t="n">
        <f aca="false">COUNTIFS(Tracker!A2:A455,8,Tracker!J2:J455,"Solved")</f>
        <v>0</v>
      </c>
      <c r="E20" s="16" t="n">
        <f aca="false">C20-D20</f>
        <v>18</v>
      </c>
      <c r="F20" s="18" t="n">
        <f aca="false">IF(C20=0,0,D20/C20)</f>
        <v>0</v>
      </c>
    </row>
    <row r="21" customFormat="false" ht="15" hidden="false" customHeight="false" outlineLevel="0" collapsed="false">
      <c r="A21" s="16" t="n">
        <v>9</v>
      </c>
      <c r="B21" s="17" t="s">
        <v>254</v>
      </c>
      <c r="C21" s="16" t="n">
        <f aca="false">COUNTIF(Tracker!A2:A455,9)</f>
        <v>31</v>
      </c>
      <c r="D21" s="16" t="n">
        <f aca="false">COUNTIFS(Tracker!A2:A455,9,Tracker!J2:J455,"Solved")</f>
        <v>0</v>
      </c>
      <c r="E21" s="16" t="n">
        <f aca="false">C21-D21</f>
        <v>31</v>
      </c>
      <c r="F21" s="18" t="n">
        <f aca="false">IF(C21=0,0,D21/C21)</f>
        <v>0</v>
      </c>
    </row>
    <row r="22" customFormat="false" ht="15" hidden="false" customHeight="false" outlineLevel="0" collapsed="false">
      <c r="A22" s="16" t="n">
        <v>10</v>
      </c>
      <c r="B22" s="17" t="s">
        <v>290</v>
      </c>
      <c r="C22" s="16" t="n">
        <f aca="false">COUNTIF(Tracker!A2:A455,10)</f>
        <v>12</v>
      </c>
      <c r="D22" s="16" t="n">
        <f aca="false">COUNTIFS(Tracker!A2:A455,10,Tracker!J2:J455,"Solved")</f>
        <v>0</v>
      </c>
      <c r="E22" s="16" t="n">
        <f aca="false">C22-D22</f>
        <v>12</v>
      </c>
      <c r="F22" s="18" t="n">
        <f aca="false">IF(C22=0,0,D22/C22)</f>
        <v>0</v>
      </c>
    </row>
    <row r="23" customFormat="false" ht="15" hidden="false" customHeight="false" outlineLevel="0" collapsed="false">
      <c r="A23" s="16" t="n">
        <v>11</v>
      </c>
      <c r="B23" s="17" t="s">
        <v>304</v>
      </c>
      <c r="C23" s="16" t="n">
        <f aca="false">COUNTIF(Tracker!A2:A455,11)</f>
        <v>17</v>
      </c>
      <c r="D23" s="16" t="n">
        <f aca="false">COUNTIFS(Tracker!A2:A455,11,Tracker!J2:J455,"Solved")</f>
        <v>0</v>
      </c>
      <c r="E23" s="16" t="n">
        <f aca="false">C23-D23</f>
        <v>17</v>
      </c>
      <c r="F23" s="18" t="n">
        <f aca="false">IF(C23=0,0,D23/C23)</f>
        <v>0</v>
      </c>
    </row>
    <row r="24" customFormat="false" ht="15" hidden="false" customHeight="false" outlineLevel="0" collapsed="false">
      <c r="A24" s="16" t="n">
        <v>12</v>
      </c>
      <c r="B24" s="17" t="s">
        <v>325</v>
      </c>
      <c r="C24" s="16" t="n">
        <f aca="false">COUNTIF(Tracker!A2:A455,12)</f>
        <v>16</v>
      </c>
      <c r="D24" s="16" t="n">
        <f aca="false">COUNTIFS(Tracker!A2:A455,12,Tracker!J2:J455,"Solved")</f>
        <v>0</v>
      </c>
      <c r="E24" s="16" t="n">
        <f aca="false">C24-D24</f>
        <v>16</v>
      </c>
      <c r="F24" s="18" t="n">
        <f aca="false">IF(C24=0,0,D24/C24)</f>
        <v>0</v>
      </c>
    </row>
    <row r="25" customFormat="false" ht="15" hidden="false" customHeight="false" outlineLevel="0" collapsed="false">
      <c r="A25" s="16" t="n">
        <v>13</v>
      </c>
      <c r="B25" s="17" t="s">
        <v>344</v>
      </c>
      <c r="C25" s="16" t="n">
        <f aca="false">COUNTIF(Tracker!A2:A455,13)</f>
        <v>39</v>
      </c>
      <c r="D25" s="16" t="n">
        <f aca="false">COUNTIFS(Tracker!A2:A455,13,Tracker!J2:J455,"Solved")</f>
        <v>0</v>
      </c>
      <c r="E25" s="16" t="n">
        <f aca="false">C25-D25</f>
        <v>39</v>
      </c>
      <c r="F25" s="18" t="n">
        <f aca="false">IF(C25=0,0,D25/C25)</f>
        <v>0</v>
      </c>
    </row>
    <row r="26" customFormat="false" ht="15" hidden="false" customHeight="false" outlineLevel="0" collapsed="false">
      <c r="A26" s="16" t="n">
        <v>14</v>
      </c>
      <c r="B26" s="17" t="s">
        <v>387</v>
      </c>
      <c r="C26" s="16" t="n">
        <f aca="false">COUNTIF(Tracker!A2:A455,14)</f>
        <v>16</v>
      </c>
      <c r="D26" s="16" t="n">
        <f aca="false">COUNTIFS(Tracker!A2:A455,14,Tracker!J2:J455,"Solved")</f>
        <v>0</v>
      </c>
      <c r="E26" s="16" t="n">
        <f aca="false">C26-D26</f>
        <v>16</v>
      </c>
      <c r="F26" s="18" t="n">
        <f aca="false">IF(C26=0,0,D26/C26)</f>
        <v>0</v>
      </c>
    </row>
    <row r="27" customFormat="false" ht="15" hidden="false" customHeight="false" outlineLevel="0" collapsed="false">
      <c r="A27" s="16" t="n">
        <v>15</v>
      </c>
      <c r="B27" s="17" t="s">
        <v>406</v>
      </c>
      <c r="C27" s="16" t="n">
        <f aca="false">COUNTIF(Tracker!A2:A455,15)</f>
        <v>52</v>
      </c>
      <c r="D27" s="16" t="n">
        <f aca="false">COUNTIFS(Tracker!A2:A455,15,Tracker!J2:J455,"Solved")</f>
        <v>0</v>
      </c>
      <c r="E27" s="16" t="n">
        <f aca="false">C27-D27</f>
        <v>52</v>
      </c>
      <c r="F27" s="18" t="n">
        <f aca="false">IF(C27=0,0,D27/C27)</f>
        <v>0</v>
      </c>
    </row>
    <row r="28" customFormat="false" ht="15" hidden="false" customHeight="false" outlineLevel="0" collapsed="false">
      <c r="A28" s="16" t="n">
        <v>16</v>
      </c>
      <c r="B28" s="17" t="s">
        <v>465</v>
      </c>
      <c r="C28" s="16" t="n">
        <f aca="false">COUNTIF(Tracker!A2:A455,16)</f>
        <v>55</v>
      </c>
      <c r="D28" s="16" t="n">
        <f aca="false">COUNTIFS(Tracker!A2:A455,16,Tracker!J2:J455,"Solved")</f>
        <v>0</v>
      </c>
      <c r="E28" s="16" t="n">
        <f aca="false">C28-D28</f>
        <v>55</v>
      </c>
      <c r="F28" s="18" t="n">
        <f aca="false">IF(C28=0,0,D28/C28)</f>
        <v>0</v>
      </c>
    </row>
    <row r="29" customFormat="false" ht="15" hidden="false" customHeight="false" outlineLevel="0" collapsed="false">
      <c r="A29" s="16" t="n">
        <v>17</v>
      </c>
      <c r="B29" s="17" t="s">
        <v>530</v>
      </c>
      <c r="C29" s="16" t="n">
        <f aca="false">COUNTIF(Tracker!A2:A455,17)</f>
        <v>7</v>
      </c>
      <c r="D29" s="16" t="n">
        <f aca="false">COUNTIFS(Tracker!A2:A455,17,Tracker!J2:J455,"Solved")</f>
        <v>0</v>
      </c>
      <c r="E29" s="16" t="n">
        <f aca="false">C29-D29</f>
        <v>7</v>
      </c>
      <c r="F29" s="18" t="n">
        <f aca="false">IF(C29=0,0,D29/C29)</f>
        <v>0</v>
      </c>
    </row>
    <row r="30" customFormat="false" ht="15" hidden="false" customHeight="false" outlineLevel="0" collapsed="false">
      <c r="A30" s="16" t="n">
        <v>18</v>
      </c>
      <c r="B30" s="17" t="s">
        <v>539</v>
      </c>
      <c r="C30" s="16" t="n">
        <f aca="false">COUNTIF(Tracker!A2:A455,18)</f>
        <v>9</v>
      </c>
      <c r="D30" s="16" t="n">
        <f aca="false">COUNTIFS(Tracker!A2:A455,18,Tracker!J2:J455,"Solved")</f>
        <v>0</v>
      </c>
      <c r="E30" s="16" t="n">
        <f aca="false">C30-D30</f>
        <v>9</v>
      </c>
      <c r="F30" s="18" t="n">
        <f aca="false">IF(C30=0,0,D30/C30)</f>
        <v>0</v>
      </c>
    </row>
    <row r="31" customFormat="false" ht="15" hidden="false" customHeight="false" outlineLevel="0" collapsed="false">
      <c r="A31" s="19"/>
      <c r="B31" s="19" t="s">
        <v>560</v>
      </c>
      <c r="C31" s="19" t="n">
        <f aca="false">SUM(C13:C30)</f>
        <v>454</v>
      </c>
      <c r="D31" s="19" t="n">
        <f aca="false">SUM(D13:D30)</f>
        <v>0</v>
      </c>
      <c r="E31" s="19" t="n">
        <f aca="false">SUM(E13:E30)</f>
        <v>454</v>
      </c>
      <c r="F31" s="20" t="n">
        <f aca="false">IF(C31=0,0,D31/C31)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5"/>
  </cols>
  <sheetData>
    <row r="1" customFormat="false" ht="19.7" hidden="false" customHeight="false" outlineLevel="0" collapsed="false">
      <c r="A1" s="21" t="s">
        <v>561</v>
      </c>
    </row>
    <row r="2" customFormat="false" ht="15" hidden="false" customHeight="false" outlineLevel="0" collapsed="false">
      <c r="A2" s="22"/>
    </row>
    <row r="3" customFormat="false" ht="15" hidden="false" customHeight="false" outlineLevel="0" collapsed="false">
      <c r="A3" s="22" t="s">
        <v>562</v>
      </c>
    </row>
    <row r="4" customFormat="false" ht="15" hidden="false" customHeight="false" outlineLevel="0" collapsed="false">
      <c r="A4" s="22"/>
    </row>
    <row r="5" customFormat="false" ht="15" hidden="false" customHeight="false" outlineLevel="0" collapsed="false">
      <c r="A5" s="23" t="s">
        <v>563</v>
      </c>
    </row>
    <row r="6" customFormat="false" ht="15" hidden="false" customHeight="false" outlineLevel="0" collapsed="false">
      <c r="A6" s="22" t="s">
        <v>564</v>
      </c>
    </row>
    <row r="7" customFormat="false" ht="15" hidden="false" customHeight="false" outlineLevel="0" collapsed="false">
      <c r="A7" s="22" t="s">
        <v>565</v>
      </c>
    </row>
    <row r="8" customFormat="false" ht="15" hidden="false" customHeight="false" outlineLevel="0" collapsed="false">
      <c r="A8" s="22" t="s">
        <v>566</v>
      </c>
    </row>
    <row r="9" customFormat="false" ht="15" hidden="false" customHeight="false" outlineLevel="0" collapsed="false">
      <c r="A9" s="22" t="s">
        <v>567</v>
      </c>
    </row>
    <row r="10" customFormat="false" ht="15" hidden="false" customHeight="false" outlineLevel="0" collapsed="false">
      <c r="A10" s="22" t="s">
        <v>568</v>
      </c>
    </row>
    <row r="11" customFormat="false" ht="15" hidden="false" customHeight="false" outlineLevel="0" collapsed="false">
      <c r="A11" s="22" t="s">
        <v>569</v>
      </c>
    </row>
    <row r="12" customFormat="false" ht="15" hidden="false" customHeight="false" outlineLevel="0" collapsed="false">
      <c r="A12" s="22" t="s">
        <v>570</v>
      </c>
    </row>
    <row r="13" customFormat="false" ht="15" hidden="false" customHeight="false" outlineLevel="0" collapsed="false">
      <c r="A13" s="22" t="s">
        <v>571</v>
      </c>
    </row>
    <row r="14" customFormat="false" ht="15" hidden="false" customHeight="false" outlineLevel="0" collapsed="false">
      <c r="A14" s="22"/>
    </row>
    <row r="15" customFormat="false" ht="15" hidden="false" customHeight="false" outlineLevel="0" collapsed="false">
      <c r="A15" s="23" t="s">
        <v>572</v>
      </c>
    </row>
    <row r="16" customFormat="false" ht="15" hidden="false" customHeight="false" outlineLevel="0" collapsed="false">
      <c r="A16" s="22" t="s">
        <v>573</v>
      </c>
    </row>
    <row r="17" customFormat="false" ht="15" hidden="false" customHeight="false" outlineLevel="0" collapsed="false">
      <c r="A17" s="22" t="s">
        <v>574</v>
      </c>
    </row>
    <row r="18" customFormat="false" ht="15" hidden="false" customHeight="false" outlineLevel="0" collapsed="false">
      <c r="A18" s="22" t="s">
        <v>575</v>
      </c>
    </row>
    <row r="19" customFormat="false" ht="15" hidden="false" customHeight="false" outlineLevel="0" collapsed="false">
      <c r="A19" s="22" t="s">
        <v>576</v>
      </c>
    </row>
    <row r="20" customFormat="false" ht="15" hidden="false" customHeight="false" outlineLevel="0" collapsed="false">
      <c r="A20" s="22" t="s">
        <v>577</v>
      </c>
    </row>
    <row r="21" customFormat="false" ht="15" hidden="false" customHeight="false" outlineLevel="0" collapsed="false">
      <c r="A21" s="22" t="s">
        <v>578</v>
      </c>
    </row>
    <row r="22" customFormat="false" ht="15" hidden="false" customHeight="false" outlineLevel="0" collapsed="false">
      <c r="A22" s="22" t="s">
        <v>579</v>
      </c>
    </row>
    <row r="23" customFormat="false" ht="15" hidden="false" customHeight="false" outlineLevel="0" collapsed="false">
      <c r="A23" s="22"/>
    </row>
    <row r="24" customFormat="false" ht="15" hidden="false" customHeight="false" outlineLevel="0" collapsed="false">
      <c r="A24" s="23" t="s">
        <v>580</v>
      </c>
    </row>
    <row r="25" customFormat="false" ht="15" hidden="false" customHeight="false" outlineLevel="0" collapsed="false">
      <c r="A25" s="22" t="s">
        <v>581</v>
      </c>
    </row>
    <row r="26" customFormat="false" ht="15" hidden="false" customHeight="false" outlineLevel="0" collapsed="false">
      <c r="A26" s="22" t="s">
        <v>582</v>
      </c>
    </row>
    <row r="27" customFormat="false" ht="15" hidden="false" customHeight="false" outlineLevel="0" collapsed="false">
      <c r="A27" s="22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2026-06-28T13:33:43Z</dcterms:created>
  <dc:creator>openpyxl</dc:creator>
  <dc:description/>
  <dc:language>en-US</dc:language>
  <cp:lastModifiedBy/>
  <dcterms:modified xsi:type="dcterms:W3CDTF">2026-06-28T13:33:43Z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